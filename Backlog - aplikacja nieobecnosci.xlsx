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Backlog" state="visible" r:id="rId4"/>
    <sheet sheetId="2" name="Epiki" state="visible" r:id="rId5"/>
    <sheet sheetId="3" name="Legenda" state="visible" r:id="rId6"/>
  </sheets>
  <calcPr calcId="171027"/>
</workbook>
</file>

<file path=xl/sharedStrings.xml><?xml version="1.0" encoding="utf-8"?>
<sst xmlns="http://schemas.openxmlformats.org/spreadsheetml/2006/main" count="949" uniqueCount="456">
  <si>
    <t>ID</t>
  </si>
  <si>
    <t>Typ zgłoszenia</t>
  </si>
  <si>
    <t>Epik ID</t>
  </si>
  <si>
    <t>Epik</t>
  </si>
  <si>
    <t>Podsumowanie</t>
  </si>
  <si>
    <t>Opis (Jako / Chcę / Aby)</t>
  </si>
  <si>
    <t>Kryteria akceptacji</t>
  </si>
  <si>
    <t>Priorytet</t>
  </si>
  <si>
    <t>Story points</t>
  </si>
  <si>
    <t>Faza</t>
  </si>
  <si>
    <t>Ref. FR/NFR</t>
  </si>
  <si>
    <t>Stan wdrożenia</t>
  </si>
  <si>
    <t>E1</t>
  </si>
  <si>
    <t>Rejestracja i zarządzanie nieobecnościami</t>
  </si>
  <si>
    <t>Pracownicy samodzielnie wpisują i edytują nieobecności bez blokad pliku.</t>
  </si>
  <si>
    <t>US-A1</t>
  </si>
  <si>
    <t>Historyjka</t>
  </si>
  <si>
    <t>Samoobsługowy wpis nieobecności</t>
  </si>
  <si>
    <t>Jako pracownik (UoP/B2B/OUT) chcę wpisać własną nieobecność (typ, data od–do), aby zaplanować dni wolne bez plików Excel.</t>
  </si>
  <si>
    <t xml:space="preserve">• Formularz dostępny po zalogowaniu
• Od logowania do zapisu maks. 3 kliknięcia
• Wpis zapisywany i widoczny natychmiast</t>
  </si>
  <si>
    <t>Must</t>
  </si>
  <si>
    <t>MVP</t>
  </si>
  <si>
    <t>FR-A1</t>
  </si>
  <si>
    <t>Zrealizowane</t>
  </si>
  <si>
    <t>US-A2</t>
  </si>
  <si>
    <t>Wpis przez zakres dat z pomijaniem weekendów i świąt</t>
  </si>
  <si>
    <t>Jako pracownik chcę podać zakres dat i mieć policzone tylko dni robocze, aby nie liczyć ręcznie weekendów i świąt.</t>
  </si>
  <si>
    <t xml:space="preserve">• Weekendy nie są naliczane
• Dni z tabeli świąt nie są naliczane
• Liczba dni roboczych pokazana przed zapisem</t>
  </si>
  <si>
    <t>FR-A2</t>
  </si>
  <si>
    <t>US-A3</t>
  </si>
  <si>
    <t>Obsługa niepełnych dni (pół dnia / godziny)</t>
  </si>
  <si>
    <t>Jako pracownik chcę wpisać pół dnia (AM/PM) lub konkretne godziny, aby odwzorować krótsze nieobecności w systemie 8-godzinnym.</t>
  </si>
  <si>
    <t xml:space="preserve">• Wybór AM/PM lub zakresu godzin
• Przeliczenie na ułamek dnia w balansie i capacity</t>
  </si>
  <si>
    <t>Should</t>
  </si>
  <si>
    <t>Faza 2</t>
  </si>
  <si>
    <t>FR-A3</t>
  </si>
  <si>
    <t>US-A4</t>
  </si>
  <si>
    <t>Edycja i usuwanie własnych wpisów</t>
  </si>
  <si>
    <t>Jako pracownik chcę edytować lub usunąć swój wpis, aby poprawić pomyłkę bez udziału innych.</t>
  </si>
  <si>
    <t xml:space="preserve">• Edycja/usuwanie tylko własnych wpisów
• Balans i capacity aktualizują się &lt; 1 s</t>
  </si>
  <si>
    <t>FR-A4</t>
  </si>
  <si>
    <t>US-A5</t>
  </si>
  <si>
    <t>Korekta wpisów zespołu przez lidera</t>
  </si>
  <si>
    <t>Jako lider chcę poprawić wpis członka zespołu na etapie weryfikacji, aby skorygować błędy bez czekania na pracownika.</t>
  </si>
  <si>
    <t xml:space="preserve">• Lider edytuje wpisy tylko w swoim zespole
• Zmiana odnotowana w historii (FR-I1)</t>
  </si>
  <si>
    <t>FR-A5</t>
  </si>
  <si>
    <t>US-A6</t>
  </si>
  <si>
    <t>Wielodostęp w czasie rzeczywistym</t>
  </si>
  <si>
    <t>Jako zespół chcę wpisywać nieobecności równocześnie z innymi, aby uniknąć blokad i „kolejek” znanych z Excela.</t>
  </si>
  <si>
    <t xml:space="preserve">• Brak blokad typu check-out
• Równoczesne zapisy nie powodują utraty danych ani konfliktów</t>
  </si>
  <si>
    <t>FR-A6</t>
  </si>
  <si>
    <t>US-A7</t>
  </si>
  <si>
    <t>Walidacja wpisu</t>
  </si>
  <si>
    <t>Jako pracownik chcę otrzymać czytelny komunikat przy błędnym wpisie, aby uniknąć przekroczenia puli i kolizji.</t>
  </si>
  <si>
    <t xml:space="preserve">• Kontrola przekroczenia puli, kolizji i zakresu dat
• Zapis zablokowany do czasu poprawy
• Komunikat wskazuje konkretny problem</t>
  </si>
  <si>
    <t>FR-A7</t>
  </si>
  <si>
    <t>US-A8</t>
  </si>
  <si>
    <t>Wybór typu nieobecności z listy</t>
  </si>
  <si>
    <t>Jako pracownik chcę wybrać typ nieobecności z listy administratora, aby umożliwić właściwe wyliczenia (np. L4).</t>
  </si>
  <si>
    <t xml:space="preserve">• Lista typów konfigurowalna przez admina
• Prezentacja w UI jednolita niezależnie od typu (D1)</t>
  </si>
  <si>
    <t>FR-A8</t>
  </si>
  <si>
    <t>US-A9</t>
  </si>
  <si>
    <t>Proaktywna asysta przy wpisie</t>
  </si>
  <si>
    <t>Jako pracownik chcę widzieć dostępny balans i kolizje przed zapisem, aby ograniczyć liczbę błędnych wpisów.</t>
  </si>
  <si>
    <t xml:space="preserve">• Dostępny balans i skutek wpisu widoczne na żywo
• Dni niedostępne wyróżnione
• Ostrzeżenie o kolizji przed zapisem</t>
  </si>
  <si>
    <t>FR-A9</t>
  </si>
  <si>
    <t>US-A10</t>
  </si>
  <si>
    <t>Operacje masowe</t>
  </si>
  <si>
    <t>Jako lider / administrator chcę wpisać nieobecność dla wielu osób naraz, aby obsłużyć np. wyjazd całego squadu jednym działaniem.</t>
  </si>
  <si>
    <t xml:space="preserve">• Jeden formularz tworzy wpisy dla wielu osób
• Walidacja wykonywana per osoba</t>
  </si>
  <si>
    <t>Could</t>
  </si>
  <si>
    <t>Faza 3</t>
  </si>
  <si>
    <t>FR-A10</t>
  </si>
  <si>
    <t>US-A11</t>
  </si>
  <si>
    <t>Potwierdzenia i cofanie operacji</t>
  </si>
  <si>
    <t>Jako pracownik chcę potwierdzać usuwanie i móc cofnąć ostatnią operację, aby uniknąć przypadkowej utraty wpisu.</t>
  </si>
  <si>
    <t xml:space="preserve">• Usunięcie wymaga potwierdzenia
• Funkcja „cofnij” przywraca wpis i balans</t>
  </si>
  <si>
    <t>FR-A11</t>
  </si>
  <si>
    <t>E2</t>
  </si>
  <si>
    <t>Wyliczenia, pula i balans</t>
  </si>
  <si>
    <t>Poprawne, odrębne liczenie urlopu dla UoP i B2B/OUT wraz z przypadkami brzegowymi.</t>
  </si>
  <si>
    <t>US-B1</t>
  </si>
  <si>
    <t>Odrębne reguły liczenia UoP vs B2B/OUT</t>
  </si>
  <si>
    <t>Jako system chcę liczyć dni wg roku kalendarzowego (UoP) i budżetowego (B2B/OUT), aby zapewnić poprawne salda dla obu form (warunek akceptacji).</t>
  </si>
  <si>
    <t xml:space="preserve">• UoP rozliczany w roku kalendarzowym
• B2B/OUT w roku budżetowym (−1 mc)
• Właściwy okres dobierany wg formy zatrudnienia</t>
  </si>
  <si>
    <t>FR-B1</t>
  </si>
  <si>
    <t>US-B2</t>
  </si>
  <si>
    <t>Licznik na żywo: pula / wykorzystano / pozostało</t>
  </si>
  <si>
    <t>Jako pracownik chcę widzieć aktualny licznik wykorzystania, aby wiedzieć ile dni zostało do rozplanowania.</t>
  </si>
  <si>
    <t xml:space="preserve">• Trzy wartości: pula, wykorzystano, pozostało
• Aktualizacja &lt; 1 s po zmianie wpisu</t>
  </si>
  <si>
    <t>FR-B2</t>
  </si>
  <si>
    <t>US-B3</t>
  </si>
  <si>
    <t>Pula urlopu: globalna + korekta indywidualna</t>
  </si>
  <si>
    <t>Jako administrator chcę ustawić pulę globalnie i korygować ją per osoba, aby zarządzać limitami bez integracji z TETA.</t>
  </si>
  <si>
    <t xml:space="preserve">• Pula globalna propaguje się do pracowników
• Korekta indywidualna nadpisuje wartość globalną</t>
  </si>
  <si>
    <t>FR-B3</t>
  </si>
  <si>
    <t>US-B4</t>
  </si>
  <si>
    <t>Urlop zaległy i minimum do pozostawienia</t>
  </si>
  <si>
    <t>Jako pracownik (UoP) chcę widzieć urlop zaległy i minimum do pozostawienia, aby planować wykorzystanie zgodnie z zasadami.</t>
  </si>
  <si>
    <t xml:space="preserve">• Balans uwzględnia urlop zaległy
• Minimum do pozostawienia wyróżnione</t>
  </si>
  <si>
    <t>FR-B4</t>
  </si>
  <si>
    <t>US-B5</t>
  </si>
  <si>
    <t>Algorytm L4 (capacity, bez obniżania puli)</t>
  </si>
  <si>
    <t>Jako system chcę traktować L4 dla UoP jako wpływające na capacity, lecz nie na pulę urlopu, aby poprawnie odwzorować chorobowe.</t>
  </si>
  <si>
    <t xml:space="preserve">• Wpis L4 zmniejsza dostępność w capacity
• Wpis L4 nie pomniejsza puli urlopu UoP</t>
  </si>
  <si>
    <t>FR-B5</t>
  </si>
  <si>
    <t>US-B6</t>
  </si>
  <si>
    <t>Wymiar B2B/OUT ustalany per okres</t>
  </si>
  <si>
    <t>Jako administrator chcę ustawić wymiar B2B/OUT dla danego okresu, aby odwzorować różny wymiar (np. odbiory za święta).</t>
  </si>
  <si>
    <t xml:space="preserve">• Wymiar ustawiany w panelu admina
• Możliwa korekta indywidualna</t>
  </si>
  <si>
    <t>FR-B6</t>
  </si>
  <si>
    <t>US-B7</t>
  </si>
  <si>
    <t>Przełom okresu — rolowanie/wygaszanie urlopu</t>
  </si>
  <si>
    <t>Jako pracownik chcę, żeby niewykorzystane dni przeszły na kolejny okres rozliczeniowy, aby nie tracić urlopu na przełomie roku.</t>
  </si>
  <si>
    <t xml:space="preserve">• Niewykorzystane dni przechodzą do kolejnego okresu jako zaległe, bez terminu wygaśnięcia
• Przeniesienie następuje bez działania administratora (także dla osoby bez wiersza puli w nowym okresie)
• Zaległe kumulują się przez kolejne okresy
• Ręczna korekta administratora nadpisuje wartość wyliczoną i staje się podstawą kolejnych okresów
• Licznik na pulpicie i raport wykorzystania pokazują tę samą liczbę dni zaległych</t>
  </si>
  <si>
    <t>FR-B7</t>
  </si>
  <si>
    <t>Zrealizowane — reguła rozstrzygnięta (urlop nie przepada); kryteria akceptacji poprawione 10.08.2026</t>
  </si>
  <si>
    <t>US-B8</t>
  </si>
  <si>
    <t>Zmiana formy zatrudnienia w trakcie roku</t>
  </si>
  <si>
    <t>Jako system chcę zastosować właściwe reguły po zmianie formy (np. B2B→UoP), aby zachować poprawność wyliczeń i historię.</t>
  </si>
  <si>
    <t xml:space="preserve">• Po dacie zmiany obowiązuje właściwy okres
• Historia sprzed zmiany zachowana</t>
  </si>
  <si>
    <t>FR-B8</t>
  </si>
  <si>
    <t>US-B9</t>
  </si>
  <si>
    <t>Proporcjonalne naliczanie puli (proration)</t>
  </si>
  <si>
    <t>Jako system chcę naliczać pulę proporcjonalnie przy wejściu/odejściu w trakcie okresu, aby sprawiedliwie liczyć limit dla nowych i odchodzących.</t>
  </si>
  <si>
    <t xml:space="preserve">• Pula proporcjonalna do okresu zatrudnienia
• Nieobecności po dacie odejścia sygnalizowane</t>
  </si>
  <si>
    <t>FR-B9</t>
  </si>
  <si>
    <t>US-B10</t>
  </si>
  <si>
    <t>Konwersja zaplanowanej nieobecności na L4</t>
  </si>
  <si>
    <t>Jako osoba z uprawnieniem rozszerzonym chcę zamienić zaplanowany urlop na L4 po fakcie, aby oddać dzień do puli, gdy pracownik zachorował.</t>
  </si>
  <si>
    <t xml:space="preserve">• Dzień zamieniony na L4 wraca do puli UoP
• Zmiana odnotowana w historii</t>
  </si>
  <si>
    <t>FR-B10</t>
  </si>
  <si>
    <t>E3</t>
  </si>
  <si>
    <t>Kalendarz i widoki zespołu</t>
  </si>
  <si>
    <t>Wspólny, jednolity widok nieobecności w obrębie Tribe.</t>
  </si>
  <si>
    <t>US-C1</t>
  </si>
  <si>
    <t>Kalendarz zespołu (tydzień/miesiąc)</t>
  </si>
  <si>
    <t>Jako lider / pracownik chcę widzieć nieobecności zespołu w kalendarzu, aby planować pracę z wyprzedzeniem.</t>
  </si>
  <si>
    <t xml:space="preserve">• Widok tygodniowy i miesięczny
• Prezentacja osób w obrębie Tribe
• Możliwość filtrowania</t>
  </si>
  <si>
    <t>FR-C1</t>
  </si>
  <si>
    <t>US-C2</t>
  </si>
  <si>
    <t>Filtr „kto dziś / w tym tygodniu nieobecny”</t>
  </si>
  <si>
    <t>Jako lider chcę szybko zawęzić widok do nieobecnych, aby ocenić bieżącą dostępność zespołu.</t>
  </si>
  <si>
    <t xml:space="preserve">• Filtr zawęża do wybranego horyzontu
• Wynik aktualny na bieżący dzień/tydzień</t>
  </si>
  <si>
    <t>FR-C2</t>
  </si>
  <si>
    <t>US-C3</t>
  </si>
  <si>
    <t>Jednolita prezentacja nieobecności</t>
  </si>
  <si>
    <t>Jako pracownik chcę widzieć wszystkie nieobecności jednolicie (bez kolorów per typ), aby chronić prywatność i uprościć odbiór.</t>
  </si>
  <si>
    <t xml:space="preserve">• Brak kolorów per typ
• L4 wyświetlane jak zwykła nieobecność (bez etykiety „chorobowe”)</t>
  </si>
  <si>
    <t>FR-C3</t>
  </si>
  <si>
    <t>US-C4</t>
  </si>
  <si>
    <t>Heatmapa pokrycia zespołu</t>
  </si>
  <si>
    <t>Jako lider chcę zobaczyć natężenie nieobecności w czasie, aby wykryć okresy ryzyka pokrycia.</t>
  </si>
  <si>
    <t>• Okresy o wysokim odsetku nieobecności wyróżnione</t>
  </si>
  <si>
    <t>FR-C4</t>
  </si>
  <si>
    <t>US-C5</t>
  </si>
  <si>
    <t>Pulpit startowy</t>
  </si>
  <si>
    <t>Jako pracownik chcę mieć po zalogowaniu mój balans, kto nieobecny i przypomnienia, aby od razu widzieć najważniejsze informacje.</t>
  </si>
  <si>
    <t xml:space="preserve">• Domyślny ekran prezentuje balans, listę nieobecnych i przypomnienia
• Brak dodatkowej nawigacji do kluczowych danych</t>
  </si>
  <si>
    <t>FR-C5</t>
  </si>
  <si>
    <t>E4</t>
  </si>
  <si>
    <t>Planowanie capacity i sprinty</t>
  </si>
  <si>
    <t>Wsparcie planowania sprintów i ostrzeganie o ryzyku pokrycia ról.</t>
  </si>
  <si>
    <t>US-D1</t>
  </si>
  <si>
    <t>Widok sprintowy nieobecności</t>
  </si>
  <si>
    <t>Jako Product Owner / Agile PM chcę widzieć nieobecności w podziale na sprinty, aby planować zakres sprintu realistycznie.</t>
  </si>
  <si>
    <t xml:space="preserve">• Wybór sprintu
• Podgląd nieobecności i capacity squadu w sprincie</t>
  </si>
  <si>
    <t>FR-D1</t>
  </si>
  <si>
    <t>US-D2</t>
  </si>
  <si>
    <t>Wyliczenie capacity squadu per sprint</t>
  </si>
  <si>
    <t>Jako Product Owner / Agile PM chcę mieć policzone capacity squadu na sprint, aby oszacować realny potencjał wykonawczy.</t>
  </si>
  <si>
    <t xml:space="preserve">• Capacity pomniejszone o nieobecności i niepełne dni
• Przeliczane automatycznie na bazie wpisów i kalendarza sprintów</t>
  </si>
  <si>
    <t>FR-D2</t>
  </si>
  <si>
    <t>US-D3</t>
  </si>
  <si>
    <t>Alert kolizji kluczowych ról</t>
  </si>
  <si>
    <t>Jako Product Owner / lider chcę otrzymać ostrzeżenie, gdy kluczowe role są nieobecne jednocześnie, aby ograniczyć ryzyko ciągłości.</t>
  </si>
  <si>
    <t xml:space="preserve">• Role kluczowe oznacza administrator
• System sygnalizuje nakładające się nieobecności kluczowych ról</t>
  </si>
  <si>
    <t>FR-D3</t>
  </si>
  <si>
    <t>US-D4</t>
  </si>
  <si>
    <t>Import harmonogramu sprintów</t>
  </si>
  <si>
    <t>Jako administrator chcę zaimportować harmonogram sprintów z pliku .xlsx, aby zasilić widoki i wyliczenia sprintowe.</t>
  </si>
  <si>
    <t xml:space="preserve">• Import .xlsx ram sprintów
• Ramy używane w widokach i capacity</t>
  </si>
  <si>
    <t>FR-D4</t>
  </si>
  <si>
    <t>Zrealizowane — układ kolumn pliku konfigurowalny do czasu decyzji zamawiającego</t>
  </si>
  <si>
    <t>E5</t>
  </si>
  <si>
    <t>Powiadomienia</t>
  </si>
  <si>
    <t>Informowanie liderów i pracowników o istotnych zdarzeniach.</t>
  </si>
  <si>
    <t>US-E1</t>
  </si>
  <si>
    <t>Powiadomienie lidera o nieobecności B2B/OUT</t>
  </si>
  <si>
    <t>Jako lider chcę dostać e-mail o planowanej nieobecności B2B/OUT, aby być informowanym bez formalnej akceptacji.</t>
  </si>
  <si>
    <t xml:space="preserve">• E-mail do lidera &lt; 5 min od zapisania wpisu B2B/OUT
• Charakter informacyjny (bez zatwierdzania)</t>
  </si>
  <si>
    <t>FR-E1</t>
  </si>
  <si>
    <t>US-E2</t>
  </si>
  <si>
    <t>Wpis bez formalnej akceptacji</t>
  </si>
  <si>
    <t>Jako pracownik chcę mieć wpis obowiązujący od zapisania, aby uniknąć zbędnego obiegu akceptacji.</t>
  </si>
  <si>
    <t>• Wpis widoczny i uwzględniony w wyliczeniach bez zatwierdzania</t>
  </si>
  <si>
    <t>FR-E2</t>
  </si>
  <si>
    <t>US-E3</t>
  </si>
  <si>
    <t>Przypomnienia o zaległym/niewybranym urlopie</t>
  </si>
  <si>
    <t>Jako pracownik chcę otrzymywać przypomnienia o zaległym urlopie, aby wykorzystać dni zanim przepadną.</t>
  </si>
  <si>
    <t xml:space="preserve">• Przypomnienie wg reguły administratora
• Opcjonalna kopia do lidera</t>
  </si>
  <si>
    <t>FR-E3</t>
  </si>
  <si>
    <t>US-E4</t>
  </si>
  <si>
    <t>Kanał powiadomień e-mail</t>
  </si>
  <si>
    <t>Jako system chcę wysyłać powiadomienia e-mailem, aby dostarczać informacje w MVP bez dodatkowych kanałów.</t>
  </si>
  <si>
    <t>• Powiadomienia dostarczane e-mailem &lt; 5 min od zdarzenia</t>
  </si>
  <si>
    <t>FR-E4</t>
  </si>
  <si>
    <t>E6</t>
  </si>
  <si>
    <t>Raporty i eksport</t>
  </si>
  <si>
    <t>Raportowanie z drążeniem hierarchii i eksportem do Excela.</t>
  </si>
  <si>
    <t>US-F1</t>
  </si>
  <si>
    <t>Eksport danych i raportów do Excela</t>
  </si>
  <si>
    <t>Jako lider / PMO chcę wyeksportować dane do .xlsx, aby pracować dalej w arkuszu i archiwizować.</t>
  </si>
  <si>
    <t xml:space="preserve">• Eksport zawiera wymagane pola
• Plik otwiera się poprawnie w Excelu</t>
  </si>
  <si>
    <t>FR-F1</t>
  </si>
  <si>
    <t>US-F2</t>
  </si>
  <si>
    <t>Raporty predefiniowane per rola</t>
  </si>
  <si>
    <t>Jako lider / dyrektor chcę generować gotowe raporty w swoim zakresie, aby szybko ocenić wykorzystanie i nieobecności.</t>
  </si>
  <si>
    <t xml:space="preserve">• Raport per pracownik, squad/sprint, Tribe, departament
• Ujęcie roczne, miesięczne i sprintowe
• Informacja o formie współpracy</t>
  </si>
  <si>
    <t>FR-F2</t>
  </si>
  <si>
    <t>US-F3</t>
  </si>
  <si>
    <t>Agregacja i drążenie hierarchii</t>
  </si>
  <si>
    <t>Jako dyrektor / lider chcę drążyć dane pion › departament › Tribe › squad › osoba, aby analizować na dowolnym poziomie.</t>
  </si>
  <si>
    <t xml:space="preserve">• Przechodzenie między poziomami
• Dane sumują się automatycznie w górę</t>
  </si>
  <si>
    <t>FR-F3</t>
  </si>
  <si>
    <t>US-F4</t>
  </si>
  <si>
    <t>Eksport do kalendarza Outlook/iCal</t>
  </si>
  <si>
    <t>Jako pracownik chcę wyeksportować nieobecności do kalendarza, aby widzieć je w Outlooku.</t>
  </si>
  <si>
    <t xml:space="preserve">• Nieobecności jako wydarzenia kalendarzowe
• Funkcja po MVP</t>
  </si>
  <si>
    <t>FR-F4</t>
  </si>
  <si>
    <t>US-F5</t>
  </si>
  <si>
    <t>Raport „kto zalega”</t>
  </si>
  <si>
    <t>Jako lider / dyrektor chcę zobaczyć osoby zalegające z wybraniem urlopu, aby reagować na ryzyko kumulacji.</t>
  </si>
  <si>
    <t>• Raport wskazuje osoby z zaległym/niewybranym urlopem</t>
  </si>
  <si>
    <t>FR-F5</t>
  </si>
  <si>
    <t>US-F6</t>
  </si>
  <si>
    <t>Stabilny schemat eksportu dla PMO/płac</t>
  </si>
  <si>
    <t>Jako PMO chcę mieć udokumentowany, stabilny format eksportu, aby umożliwić późniejszą integrację bez przebudowy.</t>
  </si>
  <si>
    <t xml:space="preserve">• Udokumentowany schemat pól
• Zmiany wersjonowane</t>
  </si>
  <si>
    <t>FR-F6</t>
  </si>
  <si>
    <t>E7</t>
  </si>
  <si>
    <t>Administracja</t>
  </si>
  <si>
    <t>Konfiguracja typów, puli, świąt, struktury i sprintów.</t>
  </si>
  <si>
    <t>US-G1</t>
  </si>
  <si>
    <t>Zarządzanie typami nieobecności</t>
  </si>
  <si>
    <t>Jako administrator chcę dodawać/edytować typy i ich reguły w trybie live, aby dostosować słownik typów bez zmian w kodzie.</t>
  </si>
  <si>
    <t xml:space="preserve">• Edycja typów i reguł (limity, wpływ na algorytm, kategoria szczególna)
• Zmiany widoczne natychmiast</t>
  </si>
  <si>
    <t>FR-G1</t>
  </si>
  <si>
    <t>US-G2</t>
  </si>
  <si>
    <t>Zarządzanie pulą urlopu</t>
  </si>
  <si>
    <t>Jako administrator chcę ustawiać pulę globalną i korekty, aby utrzymywać limity urlopowe.</t>
  </si>
  <si>
    <t xml:space="preserve">• Wartość globalna i korekta indywidualna
• Zmiany odzwierciedlone w licznikach</t>
  </si>
  <si>
    <t>FR-G2</t>
  </si>
  <si>
    <t>US-G3</t>
  </si>
  <si>
    <t>Tabela świąt i dni wolnych</t>
  </si>
  <si>
    <t>Jako administrator chcę zarządzać świętami i dniami wolnymi (w tym odbiorami), aby poprawnie pomijać dni przy liczeniu.</t>
  </si>
  <si>
    <t xml:space="preserve">• Dodawanie/edycja dni
• Dni pomijane przy liczeniu nieobecności i capacity</t>
  </si>
  <si>
    <t>FR-G3</t>
  </si>
  <si>
    <t>US-G4</t>
  </si>
  <si>
    <t>Zarządzanie strukturą organizacyjną</t>
  </si>
  <si>
    <t>Jako administrator chcę budować hierarchię jednostek i przypisywać osoby do wielu jednostek, aby odwzorować strukturę Tribe/squad.</t>
  </si>
  <si>
    <t xml:space="preserve">• Hierarchia pion›departament›Tribe›chapter/squad
• Jedna osoba może należeć do wielu jednostek
• Dane osoby agregują się we wszystkich jednostkach</t>
  </si>
  <si>
    <t>FR-G4</t>
  </si>
  <si>
    <t>US-G5</t>
  </si>
  <si>
    <t>Zarządzanie pracownikami i import .xlsx</t>
  </si>
  <si>
    <t>Jako administrator chcę zaimportować pracowników z .xlsx i ręcznie budować drzewo, aby zasilić aplikację bez integracji z AD.</t>
  </si>
  <si>
    <t xml:space="preserve">• Import .xlsx listy pracowników
• Ręczne budowanie/edycja drzewa
• Utrzymanie formy zatrudnienia każdej osoby</t>
  </si>
  <si>
    <t>FR-G5</t>
  </si>
  <si>
    <t>US-G6</t>
  </si>
  <si>
    <t>Zarządzanie definicjami sprintów</t>
  </si>
  <si>
    <t>Jako administrator chcę definiować i aktualizować ramy sprintów, aby utrzymywać aktualny harmonogram.</t>
  </si>
  <si>
    <t xml:space="preserve">• Tworzenie/aktualizacja ram sprintów
• Ramy używane w widokach sprintowych</t>
  </si>
  <si>
    <t>FR-G6</t>
  </si>
  <si>
    <t>US-G7</t>
  </si>
  <si>
    <t>Wiele kalendarzy świąt</t>
  </si>
  <si>
    <t>Jako administrator chcę przypisywać kalendarz świąt do osoby/lokalizacji, aby obsłużyć B2B/OUT z innych lokalizacji.</t>
  </si>
  <si>
    <t xml:space="preserve">• Wpisy uwzględniają kalendarz właściwy dla osoby
• Domyślnie jeden kalendarz organizacji</t>
  </si>
  <si>
    <t>FR-G7</t>
  </si>
  <si>
    <t>E8</t>
  </si>
  <si>
    <t>Uprawnienia, role i logowanie</t>
  </si>
  <si>
    <t>Kontrola dostępu, delegacja uprawnień i uwierzytelnianie.</t>
  </si>
  <si>
    <t>US-H1</t>
  </si>
  <si>
    <t>Widoczność w obrębie Tribe + filtry squad</t>
  </si>
  <si>
    <t>Jako pracownik chcę widzieć nieobecności osób w swoim Tribe z filtrem squadu, aby mieć wspólny obraz zespołu.</t>
  </si>
  <si>
    <t xml:space="preserve">• Widoczność w obrębie Tribe
• Filtry zawężają do squadu</t>
  </si>
  <si>
    <t>FR-H1</t>
  </si>
  <si>
    <t>US-H2</t>
  </si>
  <si>
    <t>Widoki wg roli (podstawowy RBAC)</t>
  </si>
  <si>
    <t>Jako administrator chcę ograniczyć zakres danych i funkcji do roli, aby chronić dane i uprościć interfejs.</t>
  </si>
  <si>
    <t xml:space="preserve">• Każda rola ma adekwatny zakres
• Model ogranicza edycję cudzych danych
• Pełny RBAC etapowo</t>
  </si>
  <si>
    <t>FR-H2</t>
  </si>
  <si>
    <t>US-H3</t>
  </si>
  <si>
    <t>Brak wyróżnienia chorobowego</t>
  </si>
  <si>
    <t>Jako pracownik chcę nie widzieć etykiety „chorobowe” w żadnym widoku, aby chronić dane wrażliwe współpracowników.</t>
  </si>
  <si>
    <t>• Etykieta „chorobowe” nie pojawia się w UI ani w eksportach widocznych dla zespołu</t>
  </si>
  <si>
    <t>FR-H3</t>
  </si>
  <si>
    <t>US-H4</t>
  </si>
  <si>
    <t>Zarządzanie rolami i delegacja uprawnień</t>
  </si>
  <si>
    <t>Jako administrator / menedżer chcę nadawać uprawnienia rozszerzone wskazanym osobom, aby umożliwić np. dodawanie L4 w imieniu innych.</t>
  </si>
  <si>
    <t xml:space="preserve">• Nadawanie/odbieranie uprawnień
• Zakres uprawnień widoczny i audytowalny</t>
  </si>
  <si>
    <t>FR-H4</t>
  </si>
  <si>
    <t>US-H5</t>
  </si>
  <si>
    <t>Logowanie w aplikacji (docelowo SSO)</t>
  </si>
  <si>
    <t>Jako użytkownik chcę logować się kontem w aplikacji, aby bezpiecznie korzystać z systemu w MVP.</t>
  </si>
  <si>
    <t xml:space="preserve">• Logowanie kontem w aplikacji
• Architektura przygotowana na późniejsze SSO przez AD</t>
  </si>
  <si>
    <t>FR-H5</t>
  </si>
  <si>
    <t>Zrealizowane — logowanie kontem w aplikacji; SSO/OIDC poza zakresem historyjki (przygotowany szew AuthProvider)</t>
  </si>
  <si>
    <t>E9</t>
  </si>
  <si>
    <t>Audyt i historia</t>
  </si>
  <si>
    <t>Śledzenie zmian i wgląd we własną historię wpisów.</t>
  </si>
  <si>
    <t>US-I1</t>
  </si>
  <si>
    <t>Historia zmian wpisu</t>
  </si>
  <si>
    <t>Jako administrator / lider chcę mieć dziennik zmian (kto, kiedy, co), aby zapewnić rozliczalność i audyt.</t>
  </si>
  <si>
    <t xml:space="preserve">• Każda operacja zapisana z użytkownikiem i znacznikiem czasu
• Dziennik niemodyfikowalny</t>
  </si>
  <si>
    <t>FR-I1</t>
  </si>
  <si>
    <t>US-I2</t>
  </si>
  <si>
    <t>Podgląd własnej historii i wycofanie wpisu</t>
  </si>
  <si>
    <t>Jako pracownik chcę widzieć swoją historię i wycofać własny wpis, aby kontrolować własne dane.</t>
  </si>
  <si>
    <t xml:space="preserve">• Lista z sortowaniem i filtrowaniem
• Wycofanie aktualizuje balans</t>
  </si>
  <si>
    <t>FR-I2</t>
  </si>
  <si>
    <t>E10</t>
  </si>
  <si>
    <t>Bezpieczeństwo i zgodność (RODO)</t>
  </si>
  <si>
    <t>Ochrona danych o zdrowiu (L4) i zgodność z RODO.</t>
  </si>
  <si>
    <t>US-J1</t>
  </si>
  <si>
    <t>Ochrona znacznika L4 (dane o zdrowiu)</t>
  </si>
  <si>
    <t>Jako administrator chcę ograniczyć dostęp do informacji „to jest L4” do ról uprawnionych, aby spełnić wymóg art. 9 RODO.</t>
  </si>
  <si>
    <t xml:space="preserve">• Tylko uprawnione role widzą znacznik L4
• Próba odczytu przez nieuprawnioną rolę blokowana i logowana</t>
  </si>
  <si>
    <t>FR-J1</t>
  </si>
  <si>
    <t>US-J2</t>
  </si>
  <si>
    <t>Retencja i usuwanie danych</t>
  </si>
  <si>
    <t>Jako administrator chcę zdefiniować okres przechowywania i usuwać dane byłych pracowników, aby realizować prawo do bycia zapomnianym.</t>
  </si>
  <si>
    <t xml:space="preserve">• Zdefiniowany okres retencji
• Po jego upływie dane anonimizowane lub usuwane</t>
  </si>
  <si>
    <t>FR-J2</t>
  </si>
  <si>
    <t>US-J3</t>
  </si>
  <si>
    <t>Minimalizacja, podstawa prawna, rejestr czynności</t>
  </si>
  <si>
    <t>Jako administrator / IOD chcę przetwarzać tylko niezbędne dane i prowadzić rejestr, aby zachować zgodność z RODO.</t>
  </si>
  <si>
    <t xml:space="preserve">• Zakres pól ograniczony do niezbędnych
• Dostępny rejestr czynności przetwarzania i podstawa prawna</t>
  </si>
  <si>
    <t>FR-J3</t>
  </si>
  <si>
    <t>US-J4</t>
  </si>
  <si>
    <t>Bezpieczne eksporty (bez znacznika L4)</t>
  </si>
  <si>
    <t>Jako administrator chcę zapewnić, że eksporty nie ujawniają L4 nieuprawnionym, aby nie wynosić danych szczególnych.</t>
  </si>
  <si>
    <t>• Eksport dla ról nieuprawnionych nie zawiera kategorii szczególnej</t>
  </si>
  <si>
    <t>FR-J4</t>
  </si>
  <si>
    <t>E11</t>
  </si>
  <si>
    <t>Platforma i wymagania niefunkcjonalne</t>
  </si>
  <si>
    <t>Wydajność, bezpieczeństwo, backup, dostępność i analityka.</t>
  </si>
  <si>
    <t>US-N1</t>
  </si>
  <si>
    <t>Wydajność pulpitu i licznika</t>
  </si>
  <si>
    <t>Jako użytkownik chcę mieć szybki pulpit i licznik, aby komfortowo korzystać przy 300 użytkownikach.</t>
  </si>
  <si>
    <t xml:space="preserve">• Pulpit/kalendarz ładują się &lt; 2 s przy 300 użytkownikach
• Licznik balansu odświeża się &lt; 1 s</t>
  </si>
  <si>
    <t>NFR-1</t>
  </si>
  <si>
    <t>Zrealizowane — zweryfikowane testem obciążeniowym 300 użytkowników (10.08.2026)</t>
  </si>
  <si>
    <t>US-N2</t>
  </si>
  <si>
    <t>Monitoring dostępności (SLA)</t>
  </si>
  <si>
    <t>Jako zespół utrzymania chcę monitorować dostępność i otrzymywać alerty, aby reagować na incydenty.</t>
  </si>
  <si>
    <t xml:space="preserve">• Monitoring dostępności w godzinach pracy
• Alerty przy przekroczeniu progów</t>
  </si>
  <si>
    <t>NFR-2</t>
  </si>
  <si>
    <t>Zrealizowane częściowo — sonda /api/health w aplikacji; progi i alerty po stronie monitoringu organizacji</t>
  </si>
  <si>
    <t>US-N3</t>
  </si>
  <si>
    <t>Skalowalność architektury</t>
  </si>
  <si>
    <t>Jako architekt chcę zapewnić zapas na wzrost organizacji, aby uniknąć przebudowy w przyszłości.</t>
  </si>
  <si>
    <t xml:space="preserve">• Obsługa min. 300 użytkowników z zapasem
• Brak twardych limitów blokujących wzrost</t>
  </si>
  <si>
    <t>NFR-3</t>
  </si>
  <si>
    <t>US-N4</t>
  </si>
  <si>
    <t>Backup i odtwarzanie</t>
  </si>
  <si>
    <t>Jako zespół utrzymania chcę mieć codzienny backup i zdefiniowane RPO/RTO, aby zabezpieczyć dane przed utratą.</t>
  </si>
  <si>
    <t xml:space="preserve">• Codzienny backup bazy
• Zdefiniowane RPO/RTO
• Okresowy test odtwarzania</t>
  </si>
  <si>
    <t>NFR-4</t>
  </si>
  <si>
    <t>US-N5</t>
  </si>
  <si>
    <t>Bezpieczeństwo danych</t>
  </si>
  <si>
    <t>Jako zespół bezpieczeństwa chcę szyfrować dane i kontrolować dostęp, aby chronić dane osobowe i wrażliwe.</t>
  </si>
  <si>
    <t xml:space="preserve">• Szyfrowanie w transmisji i w spoczynku
• Kontrola dostępu oparta na rolach
• Rejestrowanie zdarzeń bezpieczeństwa</t>
  </si>
  <si>
    <t>NFR-5</t>
  </si>
  <si>
    <t>US-N6</t>
  </si>
  <si>
    <t>Responsywny interfejs (desktop + mobile)</t>
  </si>
  <si>
    <t>Jako pracownik chcę korzystać z aplikacji na komputerze i telefonie, aby wpisywać nieobecności z dowolnego urządzenia.</t>
  </si>
  <si>
    <t xml:space="preserve">• Interfejs responsywny dla desktopu i urządzeń mobilnych
• Kluczowe akcje dostępne na małym ekranie</t>
  </si>
  <si>
    <t>NFR-6</t>
  </si>
  <si>
    <t>ODSTĘPSTWO — zakres zawężony do desktopu (decyzja 07.08.2026); wymaga potwierdzenia zamawiającego</t>
  </si>
  <si>
    <t>US-N7</t>
  </si>
  <si>
    <t>Dostępność cyfrowa (WCAG 2.1 AA)</t>
  </si>
  <si>
    <t>Jako pracownik z niepełnosprawnością chcę korzystać z aplikacji zgodnie z WCAG, aby mieć równy dostęp.</t>
  </si>
  <si>
    <t>• Zgodność z WCAG 2.1 AA (kontrast, klawiatura, czytniki ekranu)</t>
  </si>
  <si>
    <t>NFR-7</t>
  </si>
  <si>
    <t>Zrealizowane z zawężeniem — audyt axe 10.08.2026: 0 naruszeń na 12 ekranach; wyłączone 1.4.10 Reflow, wymaga potwierdzenia zamawiającego</t>
  </si>
  <si>
    <t>US-N8</t>
  </si>
  <si>
    <t>Analityka adopcji</t>
  </si>
  <si>
    <t>Jako właściciel produktu chcę mierzyć użycie i satysfakcję, aby weryfikować KPI &gt; 80% i wykrywać tarcia.</t>
  </si>
  <si>
    <t xml:space="preserve">• Pomiar użycia (kto wpisuje, gdzie tarcia)
• Wskaźnik satysfakcji raportowany</t>
  </si>
  <si>
    <t>NFR-8</t>
  </si>
  <si>
    <t>US-N9</t>
  </si>
  <si>
    <t>Lokalizacja PL/EN</t>
  </si>
  <si>
    <t>Jako współpracownik OUT chcę korzystać z interfejsu w EN, aby zrozumieć aplikację bez znajomości PL.</t>
  </si>
  <si>
    <t xml:space="preserve">• Interfejs PL domyślnie
• Opcjonalny EN (do potwierdzenia)</t>
  </si>
  <si>
    <t>NFR-9</t>
  </si>
  <si>
    <t>Niezrealizowane — potrzeba interfejsu EN nierozstrzygnięta u zamawiającego</t>
  </si>
  <si>
    <t>US-B11</t>
  </si>
  <si>
    <t>Nakładka L4 na zaplanowaną nieobecność</t>
  </si>
  <si>
    <t>Jako pracownik chcę móc zapisać zwolnienie także na zaplanowanej nieobecności, aby choroba nie wymagała kasowania planu urlopu.</t>
  </si>
  <si>
    <t xml:space="preserve">• Zapis chorobowego nie jest nigdy blokowany kolizją
• Oba wpisy zostają w bazie; usunięcie L4 przywraca pierwotny plan
• Dzień kalendarzowy liczy się najwyżej raz i należy do L4
• Capacity obniża każdy z wpisów</t>
  </si>
  <si>
    <t>FR-B5, FR-B10</t>
  </si>
  <si>
    <t>Zrealizowane — zakres ponad backlog, dopisany 10.08.2026</t>
  </si>
  <si>
    <t>US-C6</t>
  </si>
  <si>
    <t>Wyszukiwarka osób w topbarze</t>
  </si>
  <si>
    <t>Jako pracownik chcę szybko znaleźć osobę bez przechodzenia przez kalendarz, aby skrócić drogę do jej nieobecności.</t>
  </si>
  <si>
    <t xml:space="preserve">• Wyszukiwanie po nazwisku w zasięgu widoczności użytkownika
• Wynik prowadzi wprost do osoby</t>
  </si>
  <si>
    <t>—</t>
  </si>
  <si>
    <t>US-C7</t>
  </si>
  <si>
    <t>Tryb ciemny interfejsu</t>
  </si>
  <si>
    <t>Jako pracownik chcę móc przełączyć interfejs w tryb ciemny, aby dopasować go do ustawień stacji roboczej.</t>
  </si>
  <si>
    <t xml:space="preserve">• Przełącznik w topbarze
• Wybór przeżywa przeładowanie
• Pierwsze uruchomienie idzie za ustawieniem systemu
• Kontrast AA w obu motywach</t>
  </si>
  <si>
    <t>US-E5</t>
  </si>
  <si>
    <t>Powiadomienia w aplikacji (dzwonek)</t>
  </si>
  <si>
    <t>Jako pracownik chcę widzieć istotne informacje po zalogowaniu, aby nie zależeć wyłącznie od poczty.</t>
  </si>
  <si>
    <t xml:space="preserve">• Kanał w topbarze z licznikiem
• Treść bez typu nieobecności (L4-bezpieczna)
• Zamknięcie i obsługa z klawiatury</t>
  </si>
  <si>
    <t>US-G8</t>
  </si>
  <si>
    <t>Progi reguł administratora</t>
  </si>
  <si>
    <t>Jako administrator chcę ustawiać progi reguł (retencja, zaleganie, przypomnienia), aby nie zmieniać ich w kodzie.</t>
  </si>
  <si>
    <t xml:space="preserve">• Okres retencji, próg zalegania i próg przypomnień edytowalne w panelu
• Brak wpisu = wartość domyślna</t>
  </si>
  <si>
    <t>FR-J2, FR-F5, FR-E3</t>
  </si>
  <si>
    <t>US-I3</t>
  </si>
  <si>
    <t>Ekran audytu i rejestru RODO</t>
  </si>
  <si>
    <t>Jako administrator chcę przeglądać dziennik zdarzeń i rejestr czynności w aplikacji, aby nie sięgać do bazy.</t>
  </si>
  <si>
    <t xml:space="preserve">• Podgląd dziennika zmian i zdarzeń bezpieczeństwa
• Podgląd rejestru czynności przetwarzania</t>
  </si>
  <si>
    <t>FR-I1, FR-J3</t>
  </si>
  <si>
    <t>Nazwa</t>
  </si>
  <si>
    <t>Cel</t>
  </si>
  <si>
    <t>Liczba historyjek</t>
  </si>
  <si>
    <t>Suma story points</t>
  </si>
  <si>
    <t>Historyjki MVP</t>
  </si>
  <si>
    <t>RAZEM</t>
  </si>
  <si>
    <t>Element</t>
  </si>
  <si>
    <t>Znaczenie</t>
  </si>
  <si>
    <t>Priorytet — Must</t>
  </si>
  <si>
    <t>Konieczne w MVP (zakres minimalny).</t>
  </si>
  <si>
    <t>Priorytet — Should</t>
  </si>
  <si>
    <t>Ważne, planowane w Fazie 2.</t>
  </si>
  <si>
    <t>Priorytet — Could</t>
  </si>
  <si>
    <t>Opcjonalne, Faza 3 / docelowo.</t>
  </si>
  <si>
    <t>Priorytet — Won't</t>
  </si>
  <si>
    <t>Poza zakresem MVP.</t>
  </si>
  <si>
    <t>Szacunek złożoności w skali Fibonacciego (1,2,3,5,8,13). Do kalibracji przez zespół.</t>
  </si>
  <si>
    <t>Przypisanie do wdrożenia: MVP / Faza 2 / Faza 3 (wg Załącznika C dokumentu wymagań).</t>
  </si>
  <si>
    <t>Odniesienie do wymagania w dokumencie „Wymagania funkcjonalne i niefunkcjonalne v2.0”.</t>
  </si>
  <si>
    <t>Import do JIRA</t>
  </si>
  <si>
    <t>Arkusz „Backlog”: kolumna „Typ zgłoszenia” = Epik/Historyjka; „Epik”/„Epik ID” służą do powiązania historyjek z epikami.</t>
  </si>
  <si>
    <t>Stan wdrożenia — Zrealizowane</t>
  </si>
  <si>
    <t>Funkcja działa w aplikacji; pokryta testami silnika lub suitą integracyjną.</t>
  </si>
  <si>
    <t>Stan wdrożenia — ODSTĘPSTWO</t>
  </si>
  <si>
    <t>Zakres świadomie zawężony w stosunku do wymagania. Wymaga potwierdzenia zamawiającego.</t>
  </si>
  <si>
    <t>Stan wdrożenia — Niezrealizowane</t>
  </si>
  <si>
    <t>Nie zbudowane; powód podany w treści komórki.</t>
  </si>
  <si>
    <t>Stan wdrożenia — zakres ponad backlog</t>
  </si>
  <si>
    <t>Historyjka dopisana po fakcie: funkcja dostarczona, choć nie było jej w pierwotnym backlogu.</t>
  </si>
  <si>
    <t>Aktualizacja stanu</t>
  </si>
  <si>
    <t>Kolumna „Stan wdrożenia" odzwierciedla przegląd kodu i przebieg weryfikacji z 10.08.2026.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</si>
</sst>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harset val="1"/>
      <color rgb="FFFFFFFF"/>
      <sz val="10"/>
      <name val="Arial"/>
    </font>
    <font>
      <b/>
      <charset val="1"/>
      <color rgb="FF006A4E"/>
      <sz val="10"/>
      <name val="Arial"/>
    </font>
    <font>
      <charset val="1"/>
      <sz val="9"/>
      <name val="Arial"/>
    </font>
    <font>
      <b/>
      <charset val="1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006A4E"/>
        <bgColor rgb="FF008080"/>
      </patternFill>
    </fill>
    <fill>
      <patternFill patternType="solid">
        <fgColor rgb="FFE4F1EB"/>
        <bgColor rgb="FFE8F0EC"/>
      </patternFill>
    </fill>
    <fill>
      <patternFill patternType="solid">
        <fgColor rgb="FFD7EAE0"/>
        <bgColor rgb="FFE4F1EB"/>
      </patternFill>
    </fill>
    <fill>
      <patternFill patternType="solid">
        <fgColor rgb="FFE8F0EC"/>
        <bgColor rgb="FFE4F1EB"/>
      </patternFill>
    </fill>
    <fill>
      <patternFill patternType="solid">
        <fgColor rgb="FFF2F4F3"/>
        <bgColor rgb="FFE8F0E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10" customWidth="1"/>
    <col min="2" max="2" width="15" customWidth="1"/>
    <col min="4" max="4" width="30" customWidth="1"/>
    <col min="5" max="5" width="34" customWidth="1"/>
    <col min="6" max="6" width="46" customWidth="1"/>
    <col min="7" max="7" width="52" customWidth="1"/>
    <col min="8" max="8" width="11" customWidth="1"/>
    <col min="10" max="10" width="10" customWidth="1"/>
    <col min="11" max="11" width="12" customWidth="1"/>
    <col min="12" max="12" width="46" customWidth="1"/>
  </cols>
  <sheetData>
    <row r="1" ht="25.5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3.85" customHeight="1" spans="1:12" x14ac:dyDescent="0.25">
      <c r="A2" s="2" t="s">
        <v>12</v>
      </c>
      <c r="B2" s="2" t="s">
        <v>3</v>
      </c>
      <c r="C2" s="2" t="s">
        <v>12</v>
      </c>
      <c r="D2" s="2" t="s">
        <v>13</v>
      </c>
      <c r="E2" s="2" t="s">
        <v>13</v>
      </c>
      <c r="F2" s="2" t="s">
        <v>14</v>
      </c>
      <c r="G2" s="2"/>
      <c r="H2" s="2"/>
      <c r="I2" s="2"/>
      <c r="J2" s="2"/>
      <c r="K2" s="2"/>
      <c r="L2" s="2"/>
    </row>
    <row r="3" ht="35.05" customHeight="1" spans="1:12" x14ac:dyDescent="0.25">
      <c r="A3" s="3" t="s">
        <v>15</v>
      </c>
      <c r="B3" s="3" t="s">
        <v>16</v>
      </c>
      <c r="C3" s="4" t="s">
        <v>12</v>
      </c>
      <c r="D3" s="3" t="s">
        <v>13</v>
      </c>
      <c r="E3" s="3" t="s">
        <v>17</v>
      </c>
      <c r="F3" s="3" t="s">
        <v>18</v>
      </c>
      <c r="G3" s="3" t="s">
        <v>19</v>
      </c>
      <c r="H3" s="5" t="s">
        <v>20</v>
      </c>
      <c r="I3" s="4">
        <v>5</v>
      </c>
      <c r="J3" s="4" t="s">
        <v>21</v>
      </c>
      <c r="K3" s="3" t="s">
        <v>22</v>
      </c>
      <c r="L3" s="3" t="s">
        <v>23</v>
      </c>
    </row>
    <row r="4" ht="35.05" customHeight="1" spans="1:12" x14ac:dyDescent="0.25">
      <c r="A4" s="3" t="s">
        <v>24</v>
      </c>
      <c r="B4" s="3" t="s">
        <v>16</v>
      </c>
      <c r="C4" s="4" t="s">
        <v>12</v>
      </c>
      <c r="D4" s="3" t="s">
        <v>13</v>
      </c>
      <c r="E4" s="3" t="s">
        <v>25</v>
      </c>
      <c r="F4" s="3" t="s">
        <v>26</v>
      </c>
      <c r="G4" s="3" t="s">
        <v>27</v>
      </c>
      <c r="H4" s="5" t="s">
        <v>20</v>
      </c>
      <c r="I4" s="4">
        <v>5</v>
      </c>
      <c r="J4" s="4" t="s">
        <v>21</v>
      </c>
      <c r="K4" s="3" t="s">
        <v>28</v>
      </c>
      <c r="L4" s="3" t="s">
        <v>23</v>
      </c>
    </row>
    <row r="5" ht="35.05" customHeight="1" spans="1:12" x14ac:dyDescent="0.25">
      <c r="A5" s="3" t="s">
        <v>29</v>
      </c>
      <c r="B5" s="3" t="s">
        <v>16</v>
      </c>
      <c r="C5" s="4" t="s">
        <v>12</v>
      </c>
      <c r="D5" s="3" t="s">
        <v>13</v>
      </c>
      <c r="E5" s="3" t="s">
        <v>30</v>
      </c>
      <c r="F5" s="3" t="s">
        <v>31</v>
      </c>
      <c r="G5" s="3" t="s">
        <v>32</v>
      </c>
      <c r="H5" s="6" t="s">
        <v>33</v>
      </c>
      <c r="I5" s="4">
        <v>5</v>
      </c>
      <c r="J5" s="4" t="s">
        <v>34</v>
      </c>
      <c r="K5" s="3" t="s">
        <v>35</v>
      </c>
      <c r="L5" s="3" t="s">
        <v>23</v>
      </c>
    </row>
    <row r="6" ht="23.85" customHeight="1" spans="1:12" x14ac:dyDescent="0.25">
      <c r="A6" s="3" t="s">
        <v>36</v>
      </c>
      <c r="B6" s="3" t="s">
        <v>16</v>
      </c>
      <c r="C6" s="4" t="s">
        <v>12</v>
      </c>
      <c r="D6" s="3" t="s">
        <v>13</v>
      </c>
      <c r="E6" s="3" t="s">
        <v>37</v>
      </c>
      <c r="F6" s="3" t="s">
        <v>38</v>
      </c>
      <c r="G6" s="3" t="s">
        <v>39</v>
      </c>
      <c r="H6" s="5" t="s">
        <v>20</v>
      </c>
      <c r="I6" s="4">
        <v>3</v>
      </c>
      <c r="J6" s="4" t="s">
        <v>21</v>
      </c>
      <c r="K6" s="3" t="s">
        <v>40</v>
      </c>
      <c r="L6" s="3" t="s">
        <v>23</v>
      </c>
    </row>
    <row r="7" ht="35.05" customHeight="1" spans="1:12" x14ac:dyDescent="0.25">
      <c r="A7" s="3" t="s">
        <v>41</v>
      </c>
      <c r="B7" s="3" t="s">
        <v>16</v>
      </c>
      <c r="C7" s="4" t="s">
        <v>12</v>
      </c>
      <c r="D7" s="3" t="s">
        <v>13</v>
      </c>
      <c r="E7" s="3" t="s">
        <v>42</v>
      </c>
      <c r="F7" s="3" t="s">
        <v>43</v>
      </c>
      <c r="G7" s="3" t="s">
        <v>44</v>
      </c>
      <c r="H7" s="6" t="s">
        <v>33</v>
      </c>
      <c r="I7" s="4">
        <v>3</v>
      </c>
      <c r="J7" s="4" t="s">
        <v>34</v>
      </c>
      <c r="K7" s="3" t="s">
        <v>45</v>
      </c>
      <c r="L7" s="3" t="s">
        <v>23</v>
      </c>
    </row>
    <row r="8" ht="35.05" customHeight="1" spans="1:12" x14ac:dyDescent="0.25">
      <c r="A8" s="3" t="s">
        <v>46</v>
      </c>
      <c r="B8" s="3" t="s">
        <v>16</v>
      </c>
      <c r="C8" s="4" t="s">
        <v>12</v>
      </c>
      <c r="D8" s="3" t="s">
        <v>13</v>
      </c>
      <c r="E8" s="3" t="s">
        <v>47</v>
      </c>
      <c r="F8" s="3" t="s">
        <v>48</v>
      </c>
      <c r="G8" s="3" t="s">
        <v>49</v>
      </c>
      <c r="H8" s="5" t="s">
        <v>20</v>
      </c>
      <c r="I8" s="4">
        <v>8</v>
      </c>
      <c r="J8" s="4" t="s">
        <v>21</v>
      </c>
      <c r="K8" s="3" t="s">
        <v>50</v>
      </c>
      <c r="L8" s="3" t="s">
        <v>23</v>
      </c>
    </row>
    <row r="9" ht="35.05" customHeight="1" spans="1:12" x14ac:dyDescent="0.25">
      <c r="A9" s="3" t="s">
        <v>51</v>
      </c>
      <c r="B9" s="3" t="s">
        <v>16</v>
      </c>
      <c r="C9" s="4" t="s">
        <v>12</v>
      </c>
      <c r="D9" s="3" t="s">
        <v>13</v>
      </c>
      <c r="E9" s="3" t="s">
        <v>52</v>
      </c>
      <c r="F9" s="3" t="s">
        <v>53</v>
      </c>
      <c r="G9" s="3" t="s">
        <v>54</v>
      </c>
      <c r="H9" s="5" t="s">
        <v>20</v>
      </c>
      <c r="I9" s="4">
        <v>3</v>
      </c>
      <c r="J9" s="4" t="s">
        <v>21</v>
      </c>
      <c r="K9" s="3" t="s">
        <v>55</v>
      </c>
      <c r="L9" s="3" t="s">
        <v>23</v>
      </c>
    </row>
    <row r="10" ht="35.05" customHeight="1" spans="1:12" x14ac:dyDescent="0.25">
      <c r="A10" s="3" t="s">
        <v>56</v>
      </c>
      <c r="B10" s="3" t="s">
        <v>16</v>
      </c>
      <c r="C10" s="4" t="s">
        <v>12</v>
      </c>
      <c r="D10" s="3" t="s">
        <v>13</v>
      </c>
      <c r="E10" s="3" t="s">
        <v>57</v>
      </c>
      <c r="F10" s="3" t="s">
        <v>58</v>
      </c>
      <c r="G10" s="3" t="s">
        <v>59</v>
      </c>
      <c r="H10" s="6" t="s">
        <v>33</v>
      </c>
      <c r="I10" s="4">
        <v>2</v>
      </c>
      <c r="J10" s="4" t="s">
        <v>21</v>
      </c>
      <c r="K10" s="3" t="s">
        <v>60</v>
      </c>
      <c r="L10" s="3" t="s">
        <v>23</v>
      </c>
    </row>
    <row r="11" ht="35.05" customHeight="1" spans="1:12" x14ac:dyDescent="0.25">
      <c r="A11" s="3" t="s">
        <v>61</v>
      </c>
      <c r="B11" s="3" t="s">
        <v>16</v>
      </c>
      <c r="C11" s="4" t="s">
        <v>12</v>
      </c>
      <c r="D11" s="3" t="s">
        <v>13</v>
      </c>
      <c r="E11" s="3" t="s">
        <v>62</v>
      </c>
      <c r="F11" s="3" t="s">
        <v>63</v>
      </c>
      <c r="G11" s="3" t="s">
        <v>64</v>
      </c>
      <c r="H11" s="6" t="s">
        <v>33</v>
      </c>
      <c r="I11" s="4">
        <v>5</v>
      </c>
      <c r="J11" s="4" t="s">
        <v>34</v>
      </c>
      <c r="K11" s="3" t="s">
        <v>65</v>
      </c>
      <c r="L11" s="3" t="s">
        <v>23</v>
      </c>
    </row>
    <row r="12" ht="35.05" customHeight="1" spans="1:12" x14ac:dyDescent="0.25">
      <c r="A12" s="3" t="s">
        <v>66</v>
      </c>
      <c r="B12" s="3" t="s">
        <v>16</v>
      </c>
      <c r="C12" s="4" t="s">
        <v>12</v>
      </c>
      <c r="D12" s="3" t="s">
        <v>13</v>
      </c>
      <c r="E12" s="3" t="s">
        <v>67</v>
      </c>
      <c r="F12" s="3" t="s">
        <v>68</v>
      </c>
      <c r="G12" s="3" t="s">
        <v>69</v>
      </c>
      <c r="H12" s="7" t="s">
        <v>70</v>
      </c>
      <c r="I12" s="4">
        <v>5</v>
      </c>
      <c r="J12" s="4" t="s">
        <v>71</v>
      </c>
      <c r="K12" s="3" t="s">
        <v>72</v>
      </c>
      <c r="L12" s="3" t="s">
        <v>23</v>
      </c>
    </row>
    <row r="13" ht="35.05" customHeight="1" spans="1:12" x14ac:dyDescent="0.25">
      <c r="A13" s="3" t="s">
        <v>73</v>
      </c>
      <c r="B13" s="3" t="s">
        <v>16</v>
      </c>
      <c r="C13" s="4" t="s">
        <v>12</v>
      </c>
      <c r="D13" s="3" t="s">
        <v>13</v>
      </c>
      <c r="E13" s="3" t="s">
        <v>74</v>
      </c>
      <c r="F13" s="3" t="s">
        <v>75</v>
      </c>
      <c r="G13" s="3" t="s">
        <v>76</v>
      </c>
      <c r="H13" s="6" t="s">
        <v>33</v>
      </c>
      <c r="I13" s="4">
        <v>3</v>
      </c>
      <c r="J13" s="4" t="s">
        <v>34</v>
      </c>
      <c r="K13" s="3" t="s">
        <v>77</v>
      </c>
      <c r="L13" s="3" t="s">
        <v>23</v>
      </c>
    </row>
    <row r="14" ht="23.85" customHeight="1" spans="1:12" x14ac:dyDescent="0.25">
      <c r="A14" s="2" t="s">
        <v>78</v>
      </c>
      <c r="B14" s="2" t="s">
        <v>3</v>
      </c>
      <c r="C14" s="2" t="s">
        <v>78</v>
      </c>
      <c r="D14" s="2" t="s">
        <v>79</v>
      </c>
      <c r="E14" s="2" t="s">
        <v>79</v>
      </c>
      <c r="F14" s="2" t="s">
        <v>80</v>
      </c>
      <c r="G14" s="2"/>
      <c r="H14" s="2"/>
      <c r="I14" s="2"/>
      <c r="J14" s="2"/>
      <c r="K14" s="2"/>
      <c r="L14" s="2"/>
    </row>
    <row r="15" ht="35.05" customHeight="1" spans="1:12" x14ac:dyDescent="0.25">
      <c r="A15" s="3" t="s">
        <v>81</v>
      </c>
      <c r="B15" s="3" t="s">
        <v>16</v>
      </c>
      <c r="C15" s="4" t="s">
        <v>78</v>
      </c>
      <c r="D15" s="3" t="s">
        <v>79</v>
      </c>
      <c r="E15" s="3" t="s">
        <v>82</v>
      </c>
      <c r="F15" s="3" t="s">
        <v>83</v>
      </c>
      <c r="G15" s="3" t="s">
        <v>84</v>
      </c>
      <c r="H15" s="5" t="s">
        <v>20</v>
      </c>
      <c r="I15" s="4">
        <v>8</v>
      </c>
      <c r="J15" s="4" t="s">
        <v>21</v>
      </c>
      <c r="K15" s="3" t="s">
        <v>85</v>
      </c>
      <c r="L15" s="3" t="s">
        <v>23</v>
      </c>
    </row>
    <row r="16" ht="35.05" customHeight="1" spans="1:12" x14ac:dyDescent="0.25">
      <c r="A16" s="3" t="s">
        <v>86</v>
      </c>
      <c r="B16" s="3" t="s">
        <v>16</v>
      </c>
      <c r="C16" s="4" t="s">
        <v>78</v>
      </c>
      <c r="D16" s="3" t="s">
        <v>79</v>
      </c>
      <c r="E16" s="3" t="s">
        <v>87</v>
      </c>
      <c r="F16" s="3" t="s">
        <v>88</v>
      </c>
      <c r="G16" s="3" t="s">
        <v>89</v>
      </c>
      <c r="H16" s="5" t="s">
        <v>20</v>
      </c>
      <c r="I16" s="4">
        <v>5</v>
      </c>
      <c r="J16" s="4" t="s">
        <v>21</v>
      </c>
      <c r="K16" s="3" t="s">
        <v>90</v>
      </c>
      <c r="L16" s="3" t="s">
        <v>23</v>
      </c>
    </row>
    <row r="17" ht="35.05" customHeight="1" spans="1:12" x14ac:dyDescent="0.25">
      <c r="A17" s="3" t="s">
        <v>91</v>
      </c>
      <c r="B17" s="3" t="s">
        <v>16</v>
      </c>
      <c r="C17" s="4" t="s">
        <v>78</v>
      </c>
      <c r="D17" s="3" t="s">
        <v>79</v>
      </c>
      <c r="E17" s="3" t="s">
        <v>92</v>
      </c>
      <c r="F17" s="3" t="s">
        <v>93</v>
      </c>
      <c r="G17" s="3" t="s">
        <v>94</v>
      </c>
      <c r="H17" s="5" t="s">
        <v>20</v>
      </c>
      <c r="I17" s="4">
        <v>5</v>
      </c>
      <c r="J17" s="4" t="s">
        <v>21</v>
      </c>
      <c r="K17" s="3" t="s">
        <v>95</v>
      </c>
      <c r="L17" s="3" t="s">
        <v>23</v>
      </c>
    </row>
    <row r="18" ht="35.05" customHeight="1" spans="1:12" x14ac:dyDescent="0.25">
      <c r="A18" s="3" t="s">
        <v>96</v>
      </c>
      <c r="B18" s="3" t="s">
        <v>16</v>
      </c>
      <c r="C18" s="4" t="s">
        <v>78</v>
      </c>
      <c r="D18" s="3" t="s">
        <v>79</v>
      </c>
      <c r="E18" s="3" t="s">
        <v>97</v>
      </c>
      <c r="F18" s="3" t="s">
        <v>98</v>
      </c>
      <c r="G18" s="3" t="s">
        <v>99</v>
      </c>
      <c r="H18" s="6" t="s">
        <v>33</v>
      </c>
      <c r="I18" s="4">
        <v>3</v>
      </c>
      <c r="J18" s="4" t="s">
        <v>34</v>
      </c>
      <c r="K18" s="3" t="s">
        <v>100</v>
      </c>
      <c r="L18" s="3" t="s">
        <v>23</v>
      </c>
    </row>
    <row r="19" ht="35.05" customHeight="1" spans="1:12" x14ac:dyDescent="0.25">
      <c r="A19" s="3" t="s">
        <v>101</v>
      </c>
      <c r="B19" s="3" t="s">
        <v>16</v>
      </c>
      <c r="C19" s="4" t="s">
        <v>78</v>
      </c>
      <c r="D19" s="3" t="s">
        <v>79</v>
      </c>
      <c r="E19" s="3" t="s">
        <v>102</v>
      </c>
      <c r="F19" s="3" t="s">
        <v>103</v>
      </c>
      <c r="G19" s="3" t="s">
        <v>104</v>
      </c>
      <c r="H19" s="5" t="s">
        <v>20</v>
      </c>
      <c r="I19" s="4">
        <v>3</v>
      </c>
      <c r="J19" s="4" t="s">
        <v>21</v>
      </c>
      <c r="K19" s="3" t="s">
        <v>105</v>
      </c>
      <c r="L19" s="3" t="s">
        <v>23</v>
      </c>
    </row>
    <row r="20" ht="35.05" customHeight="1" spans="1:12" x14ac:dyDescent="0.25">
      <c r="A20" s="3" t="s">
        <v>106</v>
      </c>
      <c r="B20" s="3" t="s">
        <v>16</v>
      </c>
      <c r="C20" s="4" t="s">
        <v>78</v>
      </c>
      <c r="D20" s="3" t="s">
        <v>79</v>
      </c>
      <c r="E20" s="3" t="s">
        <v>107</v>
      </c>
      <c r="F20" s="3" t="s">
        <v>108</v>
      </c>
      <c r="G20" s="3" t="s">
        <v>109</v>
      </c>
      <c r="H20" s="5" t="s">
        <v>20</v>
      </c>
      <c r="I20" s="4">
        <v>3</v>
      </c>
      <c r="J20" s="4" t="s">
        <v>21</v>
      </c>
      <c r="K20" s="3" t="s">
        <v>110</v>
      </c>
      <c r="L20" s="3" t="s">
        <v>23</v>
      </c>
    </row>
    <row r="21" ht="35.05" customHeight="1" spans="1:12" x14ac:dyDescent="0.25">
      <c r="A21" s="3" t="s">
        <v>111</v>
      </c>
      <c r="B21" s="3" t="s">
        <v>16</v>
      </c>
      <c r="C21" s="4" t="s">
        <v>78</v>
      </c>
      <c r="D21" s="3" t="s">
        <v>79</v>
      </c>
      <c r="E21" s="3" t="s">
        <v>112</v>
      </c>
      <c r="F21" s="3" t="s">
        <v>113</v>
      </c>
      <c r="G21" s="3" t="s">
        <v>114</v>
      </c>
      <c r="H21" s="5" t="s">
        <v>20</v>
      </c>
      <c r="I21" s="4">
        <v>8</v>
      </c>
      <c r="J21" s="4" t="s">
        <v>21</v>
      </c>
      <c r="K21" s="3" t="s">
        <v>115</v>
      </c>
      <c r="L21" s="3" t="s">
        <v>116</v>
      </c>
    </row>
    <row r="22" ht="35.05" customHeight="1" spans="1:12" x14ac:dyDescent="0.25">
      <c r="A22" s="3" t="s">
        <v>117</v>
      </c>
      <c r="B22" s="3" t="s">
        <v>16</v>
      </c>
      <c r="C22" s="4" t="s">
        <v>78</v>
      </c>
      <c r="D22" s="3" t="s">
        <v>79</v>
      </c>
      <c r="E22" s="3" t="s">
        <v>118</v>
      </c>
      <c r="F22" s="3" t="s">
        <v>119</v>
      </c>
      <c r="G22" s="3" t="s">
        <v>120</v>
      </c>
      <c r="H22" s="6" t="s">
        <v>33</v>
      </c>
      <c r="I22" s="4">
        <v>5</v>
      </c>
      <c r="J22" s="4" t="s">
        <v>34</v>
      </c>
      <c r="K22" s="3" t="s">
        <v>121</v>
      </c>
      <c r="L22" s="3" t="s">
        <v>23</v>
      </c>
    </row>
    <row r="23" ht="35.05" customHeight="1" spans="1:12" x14ac:dyDescent="0.25">
      <c r="A23" s="3" t="s">
        <v>122</v>
      </c>
      <c r="B23" s="3" t="s">
        <v>16</v>
      </c>
      <c r="C23" s="4" t="s">
        <v>78</v>
      </c>
      <c r="D23" s="3" t="s">
        <v>79</v>
      </c>
      <c r="E23" s="3" t="s">
        <v>123</v>
      </c>
      <c r="F23" s="3" t="s">
        <v>124</v>
      </c>
      <c r="G23" s="3" t="s">
        <v>125</v>
      </c>
      <c r="H23" s="6" t="s">
        <v>33</v>
      </c>
      <c r="I23" s="4">
        <v>5</v>
      </c>
      <c r="J23" s="4" t="s">
        <v>34</v>
      </c>
      <c r="K23" s="3" t="s">
        <v>126</v>
      </c>
      <c r="L23" s="3" t="s">
        <v>23</v>
      </c>
    </row>
    <row r="24" ht="35.05" customHeight="1" spans="1:12" x14ac:dyDescent="0.25">
      <c r="A24" s="3" t="s">
        <v>127</v>
      </c>
      <c r="B24" s="3" t="s">
        <v>16</v>
      </c>
      <c r="C24" s="4" t="s">
        <v>78</v>
      </c>
      <c r="D24" s="3" t="s">
        <v>79</v>
      </c>
      <c r="E24" s="3" t="s">
        <v>128</v>
      </c>
      <c r="F24" s="3" t="s">
        <v>129</v>
      </c>
      <c r="G24" s="3" t="s">
        <v>130</v>
      </c>
      <c r="H24" s="6" t="s">
        <v>33</v>
      </c>
      <c r="I24" s="4">
        <v>3</v>
      </c>
      <c r="J24" s="4" t="s">
        <v>34</v>
      </c>
      <c r="K24" s="3" t="s">
        <v>131</v>
      </c>
      <c r="L24" s="3" t="s">
        <v>23</v>
      </c>
    </row>
    <row r="25" ht="23.85" customHeight="1" spans="1:12" x14ac:dyDescent="0.25">
      <c r="A25" s="2" t="s">
        <v>132</v>
      </c>
      <c r="B25" s="2" t="s">
        <v>3</v>
      </c>
      <c r="C25" s="2" t="s">
        <v>132</v>
      </c>
      <c r="D25" s="2" t="s">
        <v>133</v>
      </c>
      <c r="E25" s="2" t="s">
        <v>133</v>
      </c>
      <c r="F25" s="2" t="s">
        <v>134</v>
      </c>
      <c r="G25" s="2"/>
      <c r="H25" s="2"/>
      <c r="I25" s="2"/>
      <c r="J25" s="2"/>
      <c r="K25" s="2"/>
      <c r="L25" s="2"/>
    </row>
    <row r="26" ht="35.05" customHeight="1" spans="1:12" x14ac:dyDescent="0.25">
      <c r="A26" s="3" t="s">
        <v>135</v>
      </c>
      <c r="B26" s="3" t="s">
        <v>16</v>
      </c>
      <c r="C26" s="4" t="s">
        <v>132</v>
      </c>
      <c r="D26" s="3" t="s">
        <v>133</v>
      </c>
      <c r="E26" s="3" t="s">
        <v>136</v>
      </c>
      <c r="F26" s="3" t="s">
        <v>137</v>
      </c>
      <c r="G26" s="3" t="s">
        <v>138</v>
      </c>
      <c r="H26" s="5" t="s">
        <v>20</v>
      </c>
      <c r="I26" s="4">
        <v>8</v>
      </c>
      <c r="J26" s="4" t="s">
        <v>21</v>
      </c>
      <c r="K26" s="3" t="s">
        <v>139</v>
      </c>
      <c r="L26" s="3" t="s">
        <v>23</v>
      </c>
    </row>
    <row r="27" ht="23.85" customHeight="1" spans="1:12" x14ac:dyDescent="0.25">
      <c r="A27" s="3" t="s">
        <v>140</v>
      </c>
      <c r="B27" s="3" t="s">
        <v>16</v>
      </c>
      <c r="C27" s="4" t="s">
        <v>132</v>
      </c>
      <c r="D27" s="3" t="s">
        <v>133</v>
      </c>
      <c r="E27" s="3" t="s">
        <v>141</v>
      </c>
      <c r="F27" s="3" t="s">
        <v>142</v>
      </c>
      <c r="G27" s="3" t="s">
        <v>143</v>
      </c>
      <c r="H27" s="6" t="s">
        <v>33</v>
      </c>
      <c r="I27" s="4">
        <v>2</v>
      </c>
      <c r="J27" s="4" t="s">
        <v>34</v>
      </c>
      <c r="K27" s="3" t="s">
        <v>144</v>
      </c>
      <c r="L27" s="3" t="s">
        <v>23</v>
      </c>
    </row>
    <row r="28" ht="35.05" customHeight="1" spans="1:12" x14ac:dyDescent="0.25">
      <c r="A28" s="3" t="s">
        <v>145</v>
      </c>
      <c r="B28" s="3" t="s">
        <v>16</v>
      </c>
      <c r="C28" s="4" t="s">
        <v>132</v>
      </c>
      <c r="D28" s="3" t="s">
        <v>133</v>
      </c>
      <c r="E28" s="3" t="s">
        <v>146</v>
      </c>
      <c r="F28" s="3" t="s">
        <v>147</v>
      </c>
      <c r="G28" s="3" t="s">
        <v>148</v>
      </c>
      <c r="H28" s="5" t="s">
        <v>20</v>
      </c>
      <c r="I28" s="4">
        <v>3</v>
      </c>
      <c r="J28" s="4" t="s">
        <v>21</v>
      </c>
      <c r="K28" s="3" t="s">
        <v>149</v>
      </c>
      <c r="L28" s="3" t="s">
        <v>23</v>
      </c>
    </row>
    <row r="29" ht="23.85" customHeight="1" spans="1:12" x14ac:dyDescent="0.25">
      <c r="A29" s="3" t="s">
        <v>150</v>
      </c>
      <c r="B29" s="3" t="s">
        <v>16</v>
      </c>
      <c r="C29" s="4" t="s">
        <v>132</v>
      </c>
      <c r="D29" s="3" t="s">
        <v>133</v>
      </c>
      <c r="E29" s="3" t="s">
        <v>151</v>
      </c>
      <c r="F29" s="3" t="s">
        <v>152</v>
      </c>
      <c r="G29" s="3" t="s">
        <v>153</v>
      </c>
      <c r="H29" s="7" t="s">
        <v>70</v>
      </c>
      <c r="I29" s="4">
        <v>5</v>
      </c>
      <c r="J29" s="4" t="s">
        <v>71</v>
      </c>
      <c r="K29" s="3" t="s">
        <v>154</v>
      </c>
      <c r="L29" s="3" t="s">
        <v>23</v>
      </c>
    </row>
    <row r="30" ht="35.05" customHeight="1" spans="1:12" x14ac:dyDescent="0.25">
      <c r="A30" s="3" t="s">
        <v>155</v>
      </c>
      <c r="B30" s="3" t="s">
        <v>16</v>
      </c>
      <c r="C30" s="4" t="s">
        <v>132</v>
      </c>
      <c r="D30" s="3" t="s">
        <v>133</v>
      </c>
      <c r="E30" s="3" t="s">
        <v>156</v>
      </c>
      <c r="F30" s="3" t="s">
        <v>157</v>
      </c>
      <c r="G30" s="3" t="s">
        <v>158</v>
      </c>
      <c r="H30" s="6" t="s">
        <v>33</v>
      </c>
      <c r="I30" s="4">
        <v>5</v>
      </c>
      <c r="J30" s="4" t="s">
        <v>34</v>
      </c>
      <c r="K30" s="3" t="s">
        <v>159</v>
      </c>
      <c r="L30" s="3" t="s">
        <v>23</v>
      </c>
    </row>
    <row r="31" ht="23.85" customHeight="1" spans="1:12" x14ac:dyDescent="0.25">
      <c r="A31" s="2" t="s">
        <v>160</v>
      </c>
      <c r="B31" s="2" t="s">
        <v>3</v>
      </c>
      <c r="C31" s="2" t="s">
        <v>160</v>
      </c>
      <c r="D31" s="2" t="s">
        <v>161</v>
      </c>
      <c r="E31" s="2" t="s">
        <v>161</v>
      </c>
      <c r="F31" s="2" t="s">
        <v>162</v>
      </c>
      <c r="G31" s="2"/>
      <c r="H31" s="2"/>
      <c r="I31" s="2"/>
      <c r="J31" s="2"/>
      <c r="K31" s="2"/>
      <c r="L31" s="2"/>
    </row>
    <row r="32" ht="35.05" customHeight="1" spans="1:12" x14ac:dyDescent="0.25">
      <c r="A32" s="3" t="s">
        <v>163</v>
      </c>
      <c r="B32" s="3" t="s">
        <v>16</v>
      </c>
      <c r="C32" s="4" t="s">
        <v>160</v>
      </c>
      <c r="D32" s="3" t="s">
        <v>161</v>
      </c>
      <c r="E32" s="3" t="s">
        <v>164</v>
      </c>
      <c r="F32" s="3" t="s">
        <v>165</v>
      </c>
      <c r="G32" s="3" t="s">
        <v>166</v>
      </c>
      <c r="H32" s="6" t="s">
        <v>33</v>
      </c>
      <c r="I32" s="4">
        <v>5</v>
      </c>
      <c r="J32" s="4" t="s">
        <v>34</v>
      </c>
      <c r="K32" s="3" t="s">
        <v>167</v>
      </c>
      <c r="L32" s="3" t="s">
        <v>23</v>
      </c>
    </row>
    <row r="33" ht="35.05" customHeight="1" spans="1:12" x14ac:dyDescent="0.25">
      <c r="A33" s="3" t="s">
        <v>168</v>
      </c>
      <c r="B33" s="3" t="s">
        <v>16</v>
      </c>
      <c r="C33" s="4" t="s">
        <v>160</v>
      </c>
      <c r="D33" s="3" t="s">
        <v>161</v>
      </c>
      <c r="E33" s="3" t="s">
        <v>169</v>
      </c>
      <c r="F33" s="3" t="s">
        <v>170</v>
      </c>
      <c r="G33" s="3" t="s">
        <v>171</v>
      </c>
      <c r="H33" s="5" t="s">
        <v>20</v>
      </c>
      <c r="I33" s="4">
        <v>5</v>
      </c>
      <c r="J33" s="4" t="s">
        <v>21</v>
      </c>
      <c r="K33" s="3" t="s">
        <v>172</v>
      </c>
      <c r="L33" s="3" t="s">
        <v>23</v>
      </c>
    </row>
    <row r="34" ht="35.05" customHeight="1" spans="1:12" x14ac:dyDescent="0.25">
      <c r="A34" s="3" t="s">
        <v>173</v>
      </c>
      <c r="B34" s="3" t="s">
        <v>16</v>
      </c>
      <c r="C34" s="4" t="s">
        <v>160</v>
      </c>
      <c r="D34" s="3" t="s">
        <v>161</v>
      </c>
      <c r="E34" s="3" t="s">
        <v>174</v>
      </c>
      <c r="F34" s="3" t="s">
        <v>175</v>
      </c>
      <c r="G34" s="3" t="s">
        <v>176</v>
      </c>
      <c r="H34" s="5" t="s">
        <v>20</v>
      </c>
      <c r="I34" s="4">
        <v>5</v>
      </c>
      <c r="J34" s="4" t="s">
        <v>21</v>
      </c>
      <c r="K34" s="3" t="s">
        <v>177</v>
      </c>
      <c r="L34" s="3" t="s">
        <v>23</v>
      </c>
    </row>
    <row r="35" ht="35.05" customHeight="1" spans="1:12" x14ac:dyDescent="0.25">
      <c r="A35" s="3" t="s">
        <v>178</v>
      </c>
      <c r="B35" s="3" t="s">
        <v>16</v>
      </c>
      <c r="C35" s="4" t="s">
        <v>160</v>
      </c>
      <c r="D35" s="3" t="s">
        <v>161</v>
      </c>
      <c r="E35" s="3" t="s">
        <v>179</v>
      </c>
      <c r="F35" s="3" t="s">
        <v>180</v>
      </c>
      <c r="G35" s="3" t="s">
        <v>181</v>
      </c>
      <c r="H35" s="5" t="s">
        <v>20</v>
      </c>
      <c r="I35" s="4">
        <v>3</v>
      </c>
      <c r="J35" s="4" t="s">
        <v>21</v>
      </c>
      <c r="K35" s="3" t="s">
        <v>182</v>
      </c>
      <c r="L35" s="3" t="s">
        <v>183</v>
      </c>
    </row>
    <row r="36" ht="23.85" customHeight="1" spans="1:12" x14ac:dyDescent="0.25">
      <c r="A36" s="2" t="s">
        <v>184</v>
      </c>
      <c r="B36" s="2" t="s">
        <v>3</v>
      </c>
      <c r="C36" s="2" t="s">
        <v>184</v>
      </c>
      <c r="D36" s="2" t="s">
        <v>185</v>
      </c>
      <c r="E36" s="2" t="s">
        <v>185</v>
      </c>
      <c r="F36" s="2" t="s">
        <v>186</v>
      </c>
      <c r="G36" s="2"/>
      <c r="H36" s="2"/>
      <c r="I36" s="2"/>
      <c r="J36" s="2"/>
      <c r="K36" s="2"/>
      <c r="L36" s="2"/>
    </row>
    <row r="37" ht="35.05" customHeight="1" spans="1:12" x14ac:dyDescent="0.25">
      <c r="A37" s="3" t="s">
        <v>187</v>
      </c>
      <c r="B37" s="3" t="s">
        <v>16</v>
      </c>
      <c r="C37" s="4" t="s">
        <v>184</v>
      </c>
      <c r="D37" s="3" t="s">
        <v>185</v>
      </c>
      <c r="E37" s="3" t="s">
        <v>188</v>
      </c>
      <c r="F37" s="3" t="s">
        <v>189</v>
      </c>
      <c r="G37" s="3" t="s">
        <v>190</v>
      </c>
      <c r="H37" s="6" t="s">
        <v>33</v>
      </c>
      <c r="I37" s="4">
        <v>3</v>
      </c>
      <c r="J37" s="4" t="s">
        <v>34</v>
      </c>
      <c r="K37" s="3" t="s">
        <v>191</v>
      </c>
      <c r="L37" s="3" t="s">
        <v>23</v>
      </c>
    </row>
    <row r="38" ht="23.85" customHeight="1" spans="1:12" x14ac:dyDescent="0.25">
      <c r="A38" s="3" t="s">
        <v>192</v>
      </c>
      <c r="B38" s="3" t="s">
        <v>16</v>
      </c>
      <c r="C38" s="4" t="s">
        <v>184</v>
      </c>
      <c r="D38" s="3" t="s">
        <v>185</v>
      </c>
      <c r="E38" s="3" t="s">
        <v>193</v>
      </c>
      <c r="F38" s="3" t="s">
        <v>194</v>
      </c>
      <c r="G38" s="3" t="s">
        <v>195</v>
      </c>
      <c r="H38" s="5" t="s">
        <v>20</v>
      </c>
      <c r="I38" s="4">
        <v>1</v>
      </c>
      <c r="J38" s="4" t="s">
        <v>21</v>
      </c>
      <c r="K38" s="3" t="s">
        <v>196</v>
      </c>
      <c r="L38" s="3" t="s">
        <v>23</v>
      </c>
    </row>
    <row r="39" ht="23.85" customHeight="1" spans="1:12" x14ac:dyDescent="0.25">
      <c r="A39" s="3" t="s">
        <v>197</v>
      </c>
      <c r="B39" s="3" t="s">
        <v>16</v>
      </c>
      <c r="C39" s="4" t="s">
        <v>184</v>
      </c>
      <c r="D39" s="3" t="s">
        <v>185</v>
      </c>
      <c r="E39" s="3" t="s">
        <v>198</v>
      </c>
      <c r="F39" s="3" t="s">
        <v>199</v>
      </c>
      <c r="G39" s="3" t="s">
        <v>200</v>
      </c>
      <c r="H39" s="6" t="s">
        <v>33</v>
      </c>
      <c r="I39" s="4">
        <v>5</v>
      </c>
      <c r="J39" s="4" t="s">
        <v>34</v>
      </c>
      <c r="K39" s="3" t="s">
        <v>201</v>
      </c>
      <c r="L39" s="3" t="s">
        <v>23</v>
      </c>
    </row>
    <row r="40" ht="35.05" customHeight="1" spans="1:12" x14ac:dyDescent="0.25">
      <c r="A40" s="3" t="s">
        <v>202</v>
      </c>
      <c r="B40" s="3" t="s">
        <v>16</v>
      </c>
      <c r="C40" s="4" t="s">
        <v>184</v>
      </c>
      <c r="D40" s="3" t="s">
        <v>185</v>
      </c>
      <c r="E40" s="3" t="s">
        <v>203</v>
      </c>
      <c r="F40" s="3" t="s">
        <v>204</v>
      </c>
      <c r="G40" s="3" t="s">
        <v>205</v>
      </c>
      <c r="H40" s="6" t="s">
        <v>33</v>
      </c>
      <c r="I40" s="4">
        <v>3</v>
      </c>
      <c r="J40" s="4" t="s">
        <v>34</v>
      </c>
      <c r="K40" s="3" t="s">
        <v>206</v>
      </c>
      <c r="L40" s="3" t="s">
        <v>23</v>
      </c>
    </row>
    <row r="41" ht="23.85" customHeight="1" spans="1:12" x14ac:dyDescent="0.25">
      <c r="A41" s="2" t="s">
        <v>207</v>
      </c>
      <c r="B41" s="2" t="s">
        <v>3</v>
      </c>
      <c r="C41" s="2" t="s">
        <v>207</v>
      </c>
      <c r="D41" s="2" t="s">
        <v>208</v>
      </c>
      <c r="E41" s="2" t="s">
        <v>208</v>
      </c>
      <c r="F41" s="2" t="s">
        <v>209</v>
      </c>
      <c r="G41" s="2"/>
      <c r="H41" s="2"/>
      <c r="I41" s="2"/>
      <c r="J41" s="2"/>
      <c r="K41" s="2"/>
      <c r="L41" s="2"/>
    </row>
    <row r="42" ht="23.85" customHeight="1" spans="1:12" x14ac:dyDescent="0.25">
      <c r="A42" s="3" t="s">
        <v>210</v>
      </c>
      <c r="B42" s="3" t="s">
        <v>16</v>
      </c>
      <c r="C42" s="4" t="s">
        <v>207</v>
      </c>
      <c r="D42" s="3" t="s">
        <v>208</v>
      </c>
      <c r="E42" s="3" t="s">
        <v>211</v>
      </c>
      <c r="F42" s="3" t="s">
        <v>212</v>
      </c>
      <c r="G42" s="3" t="s">
        <v>213</v>
      </c>
      <c r="H42" s="5" t="s">
        <v>20</v>
      </c>
      <c r="I42" s="4">
        <v>5</v>
      </c>
      <c r="J42" s="4" t="s">
        <v>21</v>
      </c>
      <c r="K42" s="3" t="s">
        <v>214</v>
      </c>
      <c r="L42" s="3" t="s">
        <v>23</v>
      </c>
    </row>
    <row r="43" ht="35.05" customHeight="1" spans="1:12" x14ac:dyDescent="0.25">
      <c r="A43" s="3" t="s">
        <v>215</v>
      </c>
      <c r="B43" s="3" t="s">
        <v>16</v>
      </c>
      <c r="C43" s="4" t="s">
        <v>207</v>
      </c>
      <c r="D43" s="3" t="s">
        <v>208</v>
      </c>
      <c r="E43" s="3" t="s">
        <v>216</v>
      </c>
      <c r="F43" s="3" t="s">
        <v>217</v>
      </c>
      <c r="G43" s="3" t="s">
        <v>218</v>
      </c>
      <c r="H43" s="5" t="s">
        <v>20</v>
      </c>
      <c r="I43" s="4">
        <v>8</v>
      </c>
      <c r="J43" s="4" t="s">
        <v>21</v>
      </c>
      <c r="K43" s="3" t="s">
        <v>219</v>
      </c>
      <c r="L43" s="3" t="s">
        <v>23</v>
      </c>
    </row>
    <row r="44" ht="35.05" customHeight="1" spans="1:12" x14ac:dyDescent="0.25">
      <c r="A44" s="3" t="s">
        <v>220</v>
      </c>
      <c r="B44" s="3" t="s">
        <v>16</v>
      </c>
      <c r="C44" s="4" t="s">
        <v>207</v>
      </c>
      <c r="D44" s="3" t="s">
        <v>208</v>
      </c>
      <c r="E44" s="3" t="s">
        <v>221</v>
      </c>
      <c r="F44" s="3" t="s">
        <v>222</v>
      </c>
      <c r="G44" s="3" t="s">
        <v>223</v>
      </c>
      <c r="H44" s="5" t="s">
        <v>20</v>
      </c>
      <c r="I44" s="4">
        <v>5</v>
      </c>
      <c r="J44" s="4" t="s">
        <v>21</v>
      </c>
      <c r="K44" s="3" t="s">
        <v>224</v>
      </c>
      <c r="L44" s="3" t="s">
        <v>23</v>
      </c>
    </row>
    <row r="45" ht="23.85" customHeight="1" spans="1:12" x14ac:dyDescent="0.25">
      <c r="A45" s="3" t="s">
        <v>225</v>
      </c>
      <c r="B45" s="3" t="s">
        <v>16</v>
      </c>
      <c r="C45" s="4" t="s">
        <v>207</v>
      </c>
      <c r="D45" s="3" t="s">
        <v>208</v>
      </c>
      <c r="E45" s="3" t="s">
        <v>226</v>
      </c>
      <c r="F45" s="3" t="s">
        <v>227</v>
      </c>
      <c r="G45" s="3" t="s">
        <v>228</v>
      </c>
      <c r="H45" s="7" t="s">
        <v>70</v>
      </c>
      <c r="I45" s="4">
        <v>5</v>
      </c>
      <c r="J45" s="4" t="s">
        <v>71</v>
      </c>
      <c r="K45" s="3" t="s">
        <v>229</v>
      </c>
      <c r="L45" s="3" t="s">
        <v>23</v>
      </c>
    </row>
    <row r="46" ht="23.85" customHeight="1" spans="1:12" x14ac:dyDescent="0.25">
      <c r="A46" s="3" t="s">
        <v>230</v>
      </c>
      <c r="B46" s="3" t="s">
        <v>16</v>
      </c>
      <c r="C46" s="4" t="s">
        <v>207</v>
      </c>
      <c r="D46" s="3" t="s">
        <v>208</v>
      </c>
      <c r="E46" s="3" t="s">
        <v>231</v>
      </c>
      <c r="F46" s="3" t="s">
        <v>232</v>
      </c>
      <c r="G46" s="3" t="s">
        <v>233</v>
      </c>
      <c r="H46" s="6" t="s">
        <v>33</v>
      </c>
      <c r="I46" s="4">
        <v>3</v>
      </c>
      <c r="J46" s="4" t="s">
        <v>34</v>
      </c>
      <c r="K46" s="3" t="s">
        <v>234</v>
      </c>
      <c r="L46" s="3" t="s">
        <v>23</v>
      </c>
    </row>
    <row r="47" ht="35.05" customHeight="1" spans="1:12" x14ac:dyDescent="0.25">
      <c r="A47" s="3" t="s">
        <v>235</v>
      </c>
      <c r="B47" s="3" t="s">
        <v>16</v>
      </c>
      <c r="C47" s="4" t="s">
        <v>207</v>
      </c>
      <c r="D47" s="3" t="s">
        <v>208</v>
      </c>
      <c r="E47" s="3" t="s">
        <v>236</v>
      </c>
      <c r="F47" s="3" t="s">
        <v>237</v>
      </c>
      <c r="G47" s="3" t="s">
        <v>238</v>
      </c>
      <c r="H47" s="6" t="s">
        <v>33</v>
      </c>
      <c r="I47" s="4">
        <v>5</v>
      </c>
      <c r="J47" s="4" t="s">
        <v>34</v>
      </c>
      <c r="K47" s="3" t="s">
        <v>239</v>
      </c>
      <c r="L47" s="3" t="s">
        <v>23</v>
      </c>
    </row>
    <row r="48" ht="15" customHeight="1" spans="1:12" x14ac:dyDescent="0.25">
      <c r="A48" s="2" t="s">
        <v>240</v>
      </c>
      <c r="B48" s="2" t="s">
        <v>3</v>
      </c>
      <c r="C48" s="2" t="s">
        <v>240</v>
      </c>
      <c r="D48" s="2" t="s">
        <v>241</v>
      </c>
      <c r="E48" s="2" t="s">
        <v>241</v>
      </c>
      <c r="F48" s="2" t="s">
        <v>242</v>
      </c>
      <c r="G48" s="2"/>
      <c r="H48" s="2"/>
      <c r="I48" s="2"/>
      <c r="J48" s="2"/>
      <c r="K48" s="2"/>
      <c r="L48" s="2"/>
    </row>
    <row r="49" ht="35.05" customHeight="1" spans="1:12" x14ac:dyDescent="0.25">
      <c r="A49" s="3" t="s">
        <v>243</v>
      </c>
      <c r="B49" s="3" t="s">
        <v>16</v>
      </c>
      <c r="C49" s="4" t="s">
        <v>240</v>
      </c>
      <c r="D49" s="3" t="s">
        <v>241</v>
      </c>
      <c r="E49" s="3" t="s">
        <v>244</v>
      </c>
      <c r="F49" s="3" t="s">
        <v>245</v>
      </c>
      <c r="G49" s="3" t="s">
        <v>246</v>
      </c>
      <c r="H49" s="5" t="s">
        <v>20</v>
      </c>
      <c r="I49" s="4">
        <v>5</v>
      </c>
      <c r="J49" s="4" t="s">
        <v>21</v>
      </c>
      <c r="K49" s="3" t="s">
        <v>247</v>
      </c>
      <c r="L49" s="3" t="s">
        <v>23</v>
      </c>
    </row>
    <row r="50" ht="23.85" customHeight="1" spans="1:12" x14ac:dyDescent="0.25">
      <c r="A50" s="3" t="s">
        <v>248</v>
      </c>
      <c r="B50" s="3" t="s">
        <v>16</v>
      </c>
      <c r="C50" s="4" t="s">
        <v>240</v>
      </c>
      <c r="D50" s="3" t="s">
        <v>241</v>
      </c>
      <c r="E50" s="3" t="s">
        <v>249</v>
      </c>
      <c r="F50" s="3" t="s">
        <v>250</v>
      </c>
      <c r="G50" s="3" t="s">
        <v>251</v>
      </c>
      <c r="H50" s="5" t="s">
        <v>20</v>
      </c>
      <c r="I50" s="4">
        <v>3</v>
      </c>
      <c r="J50" s="4" t="s">
        <v>21</v>
      </c>
      <c r="K50" s="3" t="s">
        <v>252</v>
      </c>
      <c r="L50" s="3" t="s">
        <v>23</v>
      </c>
    </row>
    <row r="51" ht="35.05" customHeight="1" spans="1:12" x14ac:dyDescent="0.25">
      <c r="A51" s="3" t="s">
        <v>253</v>
      </c>
      <c r="B51" s="3" t="s">
        <v>16</v>
      </c>
      <c r="C51" s="4" t="s">
        <v>240</v>
      </c>
      <c r="D51" s="3" t="s">
        <v>241</v>
      </c>
      <c r="E51" s="3" t="s">
        <v>254</v>
      </c>
      <c r="F51" s="3" t="s">
        <v>255</v>
      </c>
      <c r="G51" s="3" t="s">
        <v>256</v>
      </c>
      <c r="H51" s="5" t="s">
        <v>20</v>
      </c>
      <c r="I51" s="4">
        <v>5</v>
      </c>
      <c r="J51" s="4" t="s">
        <v>21</v>
      </c>
      <c r="K51" s="3" t="s">
        <v>257</v>
      </c>
      <c r="L51" s="3" t="s">
        <v>23</v>
      </c>
    </row>
    <row r="52" ht="35.05" customHeight="1" spans="1:12" x14ac:dyDescent="0.25">
      <c r="A52" s="3" t="s">
        <v>258</v>
      </c>
      <c r="B52" s="3" t="s">
        <v>16</v>
      </c>
      <c r="C52" s="4" t="s">
        <v>240</v>
      </c>
      <c r="D52" s="3" t="s">
        <v>241</v>
      </c>
      <c r="E52" s="3" t="s">
        <v>259</v>
      </c>
      <c r="F52" s="3" t="s">
        <v>260</v>
      </c>
      <c r="G52" s="3" t="s">
        <v>261</v>
      </c>
      <c r="H52" s="5" t="s">
        <v>20</v>
      </c>
      <c r="I52" s="4">
        <v>8</v>
      </c>
      <c r="J52" s="4" t="s">
        <v>21</v>
      </c>
      <c r="K52" s="3" t="s">
        <v>262</v>
      </c>
      <c r="L52" s="3" t="s">
        <v>23</v>
      </c>
    </row>
    <row r="53" ht="35.05" customHeight="1" spans="1:12" x14ac:dyDescent="0.25">
      <c r="A53" s="3" t="s">
        <v>263</v>
      </c>
      <c r="B53" s="3" t="s">
        <v>16</v>
      </c>
      <c r="C53" s="4" t="s">
        <v>240</v>
      </c>
      <c r="D53" s="3" t="s">
        <v>241</v>
      </c>
      <c r="E53" s="3" t="s">
        <v>264</v>
      </c>
      <c r="F53" s="3" t="s">
        <v>265</v>
      </c>
      <c r="G53" s="3" t="s">
        <v>266</v>
      </c>
      <c r="H53" s="5" t="s">
        <v>20</v>
      </c>
      <c r="I53" s="4">
        <v>8</v>
      </c>
      <c r="J53" s="4" t="s">
        <v>21</v>
      </c>
      <c r="K53" s="3" t="s">
        <v>267</v>
      </c>
      <c r="L53" s="3" t="s">
        <v>183</v>
      </c>
    </row>
    <row r="54" ht="23.85" customHeight="1" spans="1:12" x14ac:dyDescent="0.25">
      <c r="A54" s="3" t="s">
        <v>268</v>
      </c>
      <c r="B54" s="3" t="s">
        <v>16</v>
      </c>
      <c r="C54" s="4" t="s">
        <v>240</v>
      </c>
      <c r="D54" s="3" t="s">
        <v>241</v>
      </c>
      <c r="E54" s="3" t="s">
        <v>269</v>
      </c>
      <c r="F54" s="3" t="s">
        <v>270</v>
      </c>
      <c r="G54" s="3" t="s">
        <v>271</v>
      </c>
      <c r="H54" s="6" t="s">
        <v>33</v>
      </c>
      <c r="I54" s="4">
        <v>3</v>
      </c>
      <c r="J54" s="4" t="s">
        <v>21</v>
      </c>
      <c r="K54" s="3" t="s">
        <v>272</v>
      </c>
      <c r="L54" s="3" t="s">
        <v>23</v>
      </c>
    </row>
    <row r="55" ht="35.05" customHeight="1" spans="1:12" x14ac:dyDescent="0.25">
      <c r="A55" s="3" t="s">
        <v>273</v>
      </c>
      <c r="B55" s="3" t="s">
        <v>16</v>
      </c>
      <c r="C55" s="4" t="s">
        <v>240</v>
      </c>
      <c r="D55" s="3" t="s">
        <v>241</v>
      </c>
      <c r="E55" s="3" t="s">
        <v>274</v>
      </c>
      <c r="F55" s="3" t="s">
        <v>275</v>
      </c>
      <c r="G55" s="3" t="s">
        <v>276</v>
      </c>
      <c r="H55" s="6" t="s">
        <v>33</v>
      </c>
      <c r="I55" s="4">
        <v>5</v>
      </c>
      <c r="J55" s="4" t="s">
        <v>34</v>
      </c>
      <c r="K55" s="3" t="s">
        <v>277</v>
      </c>
      <c r="L55" s="3" t="s">
        <v>23</v>
      </c>
    </row>
    <row r="56" ht="23.85" customHeight="1" spans="1:12" x14ac:dyDescent="0.25">
      <c r="A56" s="2" t="s">
        <v>278</v>
      </c>
      <c r="B56" s="2" t="s">
        <v>3</v>
      </c>
      <c r="C56" s="2" t="s">
        <v>278</v>
      </c>
      <c r="D56" s="2" t="s">
        <v>279</v>
      </c>
      <c r="E56" s="2" t="s">
        <v>279</v>
      </c>
      <c r="F56" s="2" t="s">
        <v>280</v>
      </c>
      <c r="G56" s="2"/>
      <c r="H56" s="2"/>
      <c r="I56" s="2"/>
      <c r="J56" s="2"/>
      <c r="K56" s="2"/>
      <c r="L56" s="2"/>
    </row>
    <row r="57" ht="35.05" customHeight="1" spans="1:12" x14ac:dyDescent="0.25">
      <c r="A57" s="3" t="s">
        <v>281</v>
      </c>
      <c r="B57" s="3" t="s">
        <v>16</v>
      </c>
      <c r="C57" s="4" t="s">
        <v>278</v>
      </c>
      <c r="D57" s="3" t="s">
        <v>279</v>
      </c>
      <c r="E57" s="3" t="s">
        <v>282</v>
      </c>
      <c r="F57" s="3" t="s">
        <v>283</v>
      </c>
      <c r="G57" s="3" t="s">
        <v>284</v>
      </c>
      <c r="H57" s="5" t="s">
        <v>20</v>
      </c>
      <c r="I57" s="4">
        <v>5</v>
      </c>
      <c r="J57" s="4" t="s">
        <v>21</v>
      </c>
      <c r="K57" s="3" t="s">
        <v>285</v>
      </c>
      <c r="L57" s="3" t="s">
        <v>23</v>
      </c>
    </row>
    <row r="58" ht="35.05" customHeight="1" spans="1:12" x14ac:dyDescent="0.25">
      <c r="A58" s="3" t="s">
        <v>286</v>
      </c>
      <c r="B58" s="3" t="s">
        <v>16</v>
      </c>
      <c r="C58" s="4" t="s">
        <v>278</v>
      </c>
      <c r="D58" s="3" t="s">
        <v>279</v>
      </c>
      <c r="E58" s="3" t="s">
        <v>287</v>
      </c>
      <c r="F58" s="3" t="s">
        <v>288</v>
      </c>
      <c r="G58" s="3" t="s">
        <v>289</v>
      </c>
      <c r="H58" s="6" t="s">
        <v>33</v>
      </c>
      <c r="I58" s="4">
        <v>8</v>
      </c>
      <c r="J58" s="4" t="s">
        <v>21</v>
      </c>
      <c r="K58" s="3" t="s">
        <v>290</v>
      </c>
      <c r="L58" s="3" t="s">
        <v>23</v>
      </c>
    </row>
    <row r="59" ht="35.05" customHeight="1" spans="1:12" x14ac:dyDescent="0.25">
      <c r="A59" s="3" t="s">
        <v>291</v>
      </c>
      <c r="B59" s="3" t="s">
        <v>16</v>
      </c>
      <c r="C59" s="4" t="s">
        <v>278</v>
      </c>
      <c r="D59" s="3" t="s">
        <v>279</v>
      </c>
      <c r="E59" s="3" t="s">
        <v>292</v>
      </c>
      <c r="F59" s="3" t="s">
        <v>293</v>
      </c>
      <c r="G59" s="3" t="s">
        <v>294</v>
      </c>
      <c r="H59" s="5" t="s">
        <v>20</v>
      </c>
      <c r="I59" s="4">
        <v>2</v>
      </c>
      <c r="J59" s="4" t="s">
        <v>21</v>
      </c>
      <c r="K59" s="3" t="s">
        <v>295</v>
      </c>
      <c r="L59" s="3" t="s">
        <v>23</v>
      </c>
    </row>
    <row r="60" ht="35.05" customHeight="1" spans="1:12" x14ac:dyDescent="0.25">
      <c r="A60" s="3" t="s">
        <v>296</v>
      </c>
      <c r="B60" s="3" t="s">
        <v>16</v>
      </c>
      <c r="C60" s="4" t="s">
        <v>278</v>
      </c>
      <c r="D60" s="3" t="s">
        <v>279</v>
      </c>
      <c r="E60" s="3" t="s">
        <v>297</v>
      </c>
      <c r="F60" s="3" t="s">
        <v>298</v>
      </c>
      <c r="G60" s="3" t="s">
        <v>299</v>
      </c>
      <c r="H60" s="5" t="s">
        <v>20</v>
      </c>
      <c r="I60" s="4">
        <v>5</v>
      </c>
      <c r="J60" s="4" t="s">
        <v>21</v>
      </c>
      <c r="K60" s="3" t="s">
        <v>300</v>
      </c>
      <c r="L60" s="3" t="s">
        <v>23</v>
      </c>
    </row>
    <row r="61" ht="23.85" customHeight="1" spans="1:12" x14ac:dyDescent="0.25">
      <c r="A61" s="3" t="s">
        <v>301</v>
      </c>
      <c r="B61" s="3" t="s">
        <v>16</v>
      </c>
      <c r="C61" s="4" t="s">
        <v>278</v>
      </c>
      <c r="D61" s="3" t="s">
        <v>279</v>
      </c>
      <c r="E61" s="3" t="s">
        <v>302</v>
      </c>
      <c r="F61" s="3" t="s">
        <v>303</v>
      </c>
      <c r="G61" s="3" t="s">
        <v>304</v>
      </c>
      <c r="H61" s="5" t="s">
        <v>20</v>
      </c>
      <c r="I61" s="4">
        <v>5</v>
      </c>
      <c r="J61" s="4" t="s">
        <v>21</v>
      </c>
      <c r="K61" s="3" t="s">
        <v>305</v>
      </c>
      <c r="L61" s="3" t="s">
        <v>306</v>
      </c>
    </row>
    <row r="62" ht="15" customHeight="1" spans="1:12" x14ac:dyDescent="0.25">
      <c r="A62" s="2" t="s">
        <v>307</v>
      </c>
      <c r="B62" s="2" t="s">
        <v>3</v>
      </c>
      <c r="C62" s="2" t="s">
        <v>307</v>
      </c>
      <c r="D62" s="2" t="s">
        <v>308</v>
      </c>
      <c r="E62" s="2" t="s">
        <v>308</v>
      </c>
      <c r="F62" s="2" t="s">
        <v>309</v>
      </c>
      <c r="G62" s="2"/>
      <c r="H62" s="2"/>
      <c r="I62" s="2"/>
      <c r="J62" s="2"/>
      <c r="K62" s="2"/>
      <c r="L62" s="2"/>
    </row>
    <row r="63" ht="35.05" customHeight="1" spans="1:12" x14ac:dyDescent="0.25">
      <c r="A63" s="3" t="s">
        <v>310</v>
      </c>
      <c r="B63" s="3" t="s">
        <v>16</v>
      </c>
      <c r="C63" s="4" t="s">
        <v>307</v>
      </c>
      <c r="D63" s="3" t="s">
        <v>308</v>
      </c>
      <c r="E63" s="3" t="s">
        <v>311</v>
      </c>
      <c r="F63" s="3" t="s">
        <v>312</v>
      </c>
      <c r="G63" s="3" t="s">
        <v>313</v>
      </c>
      <c r="H63" s="6" t="s">
        <v>33</v>
      </c>
      <c r="I63" s="4">
        <v>5</v>
      </c>
      <c r="J63" s="4" t="s">
        <v>34</v>
      </c>
      <c r="K63" s="3" t="s">
        <v>314</v>
      </c>
      <c r="L63" s="3" t="s">
        <v>23</v>
      </c>
    </row>
    <row r="64" ht="23.85" customHeight="1" spans="1:12" x14ac:dyDescent="0.25">
      <c r="A64" s="3" t="s">
        <v>315</v>
      </c>
      <c r="B64" s="3" t="s">
        <v>16</v>
      </c>
      <c r="C64" s="4" t="s">
        <v>307</v>
      </c>
      <c r="D64" s="3" t="s">
        <v>308</v>
      </c>
      <c r="E64" s="3" t="s">
        <v>316</v>
      </c>
      <c r="F64" s="3" t="s">
        <v>317</v>
      </c>
      <c r="G64" s="3" t="s">
        <v>318</v>
      </c>
      <c r="H64" s="6" t="s">
        <v>33</v>
      </c>
      <c r="I64" s="4">
        <v>3</v>
      </c>
      <c r="J64" s="4" t="s">
        <v>34</v>
      </c>
      <c r="K64" s="3" t="s">
        <v>319</v>
      </c>
      <c r="L64" s="3" t="s">
        <v>23</v>
      </c>
    </row>
    <row r="65" ht="23.85" customHeight="1" spans="1:12" x14ac:dyDescent="0.25">
      <c r="A65" s="2" t="s">
        <v>320</v>
      </c>
      <c r="B65" s="2" t="s">
        <v>3</v>
      </c>
      <c r="C65" s="2" t="s">
        <v>320</v>
      </c>
      <c r="D65" s="2" t="s">
        <v>321</v>
      </c>
      <c r="E65" s="2" t="s">
        <v>321</v>
      </c>
      <c r="F65" s="2" t="s">
        <v>322</v>
      </c>
      <c r="G65" s="2"/>
      <c r="H65" s="2"/>
      <c r="I65" s="2"/>
      <c r="J65" s="2"/>
      <c r="K65" s="2"/>
      <c r="L65" s="2"/>
    </row>
    <row r="66" ht="35.05" customHeight="1" spans="1:12" x14ac:dyDescent="0.25">
      <c r="A66" s="3" t="s">
        <v>323</v>
      </c>
      <c r="B66" s="3" t="s">
        <v>16</v>
      </c>
      <c r="C66" s="4" t="s">
        <v>320</v>
      </c>
      <c r="D66" s="3" t="s">
        <v>321</v>
      </c>
      <c r="E66" s="3" t="s">
        <v>324</v>
      </c>
      <c r="F66" s="3" t="s">
        <v>325</v>
      </c>
      <c r="G66" s="3" t="s">
        <v>326</v>
      </c>
      <c r="H66" s="5" t="s">
        <v>20</v>
      </c>
      <c r="I66" s="4">
        <v>5</v>
      </c>
      <c r="J66" s="4" t="s">
        <v>21</v>
      </c>
      <c r="K66" s="3" t="s">
        <v>327</v>
      </c>
      <c r="L66" s="3" t="s">
        <v>23</v>
      </c>
    </row>
    <row r="67" ht="35.05" customHeight="1" spans="1:12" x14ac:dyDescent="0.25">
      <c r="A67" s="3" t="s">
        <v>328</v>
      </c>
      <c r="B67" s="3" t="s">
        <v>16</v>
      </c>
      <c r="C67" s="4" t="s">
        <v>320</v>
      </c>
      <c r="D67" s="3" t="s">
        <v>321</v>
      </c>
      <c r="E67" s="3" t="s">
        <v>329</v>
      </c>
      <c r="F67" s="3" t="s">
        <v>330</v>
      </c>
      <c r="G67" s="3" t="s">
        <v>331</v>
      </c>
      <c r="H67" s="5" t="s">
        <v>20</v>
      </c>
      <c r="I67" s="4">
        <v>5</v>
      </c>
      <c r="J67" s="4" t="s">
        <v>21</v>
      </c>
      <c r="K67" s="3" t="s">
        <v>332</v>
      </c>
      <c r="L67" s="3" t="s">
        <v>23</v>
      </c>
    </row>
    <row r="68" ht="35.05" customHeight="1" spans="1:12" x14ac:dyDescent="0.25">
      <c r="A68" s="3" t="s">
        <v>333</v>
      </c>
      <c r="B68" s="3" t="s">
        <v>16</v>
      </c>
      <c r="C68" s="4" t="s">
        <v>320</v>
      </c>
      <c r="D68" s="3" t="s">
        <v>321</v>
      </c>
      <c r="E68" s="3" t="s">
        <v>334</v>
      </c>
      <c r="F68" s="3" t="s">
        <v>335</v>
      </c>
      <c r="G68" s="3" t="s">
        <v>336</v>
      </c>
      <c r="H68" s="6" t="s">
        <v>33</v>
      </c>
      <c r="I68" s="4">
        <v>3</v>
      </c>
      <c r="J68" s="4" t="s">
        <v>34</v>
      </c>
      <c r="K68" s="3" t="s">
        <v>337</v>
      </c>
      <c r="L68" s="3" t="s">
        <v>23</v>
      </c>
    </row>
    <row r="69" ht="35.05" customHeight="1" spans="1:12" x14ac:dyDescent="0.25">
      <c r="A69" s="3" t="s">
        <v>338</v>
      </c>
      <c r="B69" s="3" t="s">
        <v>16</v>
      </c>
      <c r="C69" s="4" t="s">
        <v>320</v>
      </c>
      <c r="D69" s="3" t="s">
        <v>321</v>
      </c>
      <c r="E69" s="3" t="s">
        <v>339</v>
      </c>
      <c r="F69" s="3" t="s">
        <v>340</v>
      </c>
      <c r="G69" s="3" t="s">
        <v>341</v>
      </c>
      <c r="H69" s="5" t="s">
        <v>20</v>
      </c>
      <c r="I69" s="4">
        <v>3</v>
      </c>
      <c r="J69" s="4" t="s">
        <v>21</v>
      </c>
      <c r="K69" s="3" t="s">
        <v>342</v>
      </c>
      <c r="L69" s="3" t="s">
        <v>23</v>
      </c>
    </row>
    <row r="70" ht="23.85" customHeight="1" spans="1:12" x14ac:dyDescent="0.25">
      <c r="A70" s="2" t="s">
        <v>343</v>
      </c>
      <c r="B70" s="2" t="s">
        <v>3</v>
      </c>
      <c r="C70" s="2" t="s">
        <v>343</v>
      </c>
      <c r="D70" s="2" t="s">
        <v>344</v>
      </c>
      <c r="E70" s="2" t="s">
        <v>344</v>
      </c>
      <c r="F70" s="2" t="s">
        <v>345</v>
      </c>
      <c r="G70" s="2"/>
      <c r="H70" s="2"/>
      <c r="I70" s="2"/>
      <c r="J70" s="2"/>
      <c r="K70" s="2"/>
      <c r="L70" s="2"/>
    </row>
    <row r="71" ht="23.85" customHeight="1" spans="1:12" x14ac:dyDescent="0.25">
      <c r="A71" s="3" t="s">
        <v>346</v>
      </c>
      <c r="B71" s="3" t="s">
        <v>16</v>
      </c>
      <c r="C71" s="4" t="s">
        <v>343</v>
      </c>
      <c r="D71" s="3" t="s">
        <v>344</v>
      </c>
      <c r="E71" s="3" t="s">
        <v>347</v>
      </c>
      <c r="F71" s="3" t="s">
        <v>348</v>
      </c>
      <c r="G71" s="3" t="s">
        <v>349</v>
      </c>
      <c r="H71" s="5" t="s">
        <v>20</v>
      </c>
      <c r="I71" s="4">
        <v>5</v>
      </c>
      <c r="J71" s="4" t="s">
        <v>21</v>
      </c>
      <c r="K71" s="3" t="s">
        <v>350</v>
      </c>
      <c r="L71" s="3" t="s">
        <v>351</v>
      </c>
    </row>
    <row r="72" ht="23.85" customHeight="1" spans="1:12" x14ac:dyDescent="0.25">
      <c r="A72" s="3" t="s">
        <v>352</v>
      </c>
      <c r="B72" s="3" t="s">
        <v>16</v>
      </c>
      <c r="C72" s="4" t="s">
        <v>343</v>
      </c>
      <c r="D72" s="3" t="s">
        <v>344</v>
      </c>
      <c r="E72" s="3" t="s">
        <v>353</v>
      </c>
      <c r="F72" s="3" t="s">
        <v>354</v>
      </c>
      <c r="G72" s="3" t="s">
        <v>355</v>
      </c>
      <c r="H72" s="6" t="s">
        <v>33</v>
      </c>
      <c r="I72" s="4">
        <v>3</v>
      </c>
      <c r="J72" s="4" t="s">
        <v>34</v>
      </c>
      <c r="K72" s="3" t="s">
        <v>356</v>
      </c>
      <c r="L72" s="3" t="s">
        <v>357</v>
      </c>
    </row>
    <row r="73" ht="23.85" customHeight="1" spans="1:12" x14ac:dyDescent="0.25">
      <c r="A73" s="3" t="s">
        <v>358</v>
      </c>
      <c r="B73" s="3" t="s">
        <v>16</v>
      </c>
      <c r="C73" s="4" t="s">
        <v>343</v>
      </c>
      <c r="D73" s="3" t="s">
        <v>344</v>
      </c>
      <c r="E73" s="3" t="s">
        <v>359</v>
      </c>
      <c r="F73" s="3" t="s">
        <v>360</v>
      </c>
      <c r="G73" s="3" t="s">
        <v>361</v>
      </c>
      <c r="H73" s="6" t="s">
        <v>33</v>
      </c>
      <c r="I73" s="4">
        <v>3</v>
      </c>
      <c r="J73" s="4" t="s">
        <v>21</v>
      </c>
      <c r="K73" s="3" t="s">
        <v>362</v>
      </c>
      <c r="L73" s="3" t="s">
        <v>23</v>
      </c>
    </row>
    <row r="74" ht="35.05" customHeight="1" spans="1:12" x14ac:dyDescent="0.25">
      <c r="A74" s="3" t="s">
        <v>363</v>
      </c>
      <c r="B74" s="3" t="s">
        <v>16</v>
      </c>
      <c r="C74" s="4" t="s">
        <v>343</v>
      </c>
      <c r="D74" s="3" t="s">
        <v>344</v>
      </c>
      <c r="E74" s="3" t="s">
        <v>364</v>
      </c>
      <c r="F74" s="3" t="s">
        <v>365</v>
      </c>
      <c r="G74" s="3" t="s">
        <v>366</v>
      </c>
      <c r="H74" s="5" t="s">
        <v>20</v>
      </c>
      <c r="I74" s="4">
        <v>5</v>
      </c>
      <c r="J74" s="4" t="s">
        <v>21</v>
      </c>
      <c r="K74" s="3" t="s">
        <v>367</v>
      </c>
      <c r="L74" s="3" t="s">
        <v>23</v>
      </c>
    </row>
    <row r="75" ht="35.05" customHeight="1" spans="1:12" x14ac:dyDescent="0.25">
      <c r="A75" s="3" t="s">
        <v>368</v>
      </c>
      <c r="B75" s="3" t="s">
        <v>16</v>
      </c>
      <c r="C75" s="4" t="s">
        <v>343</v>
      </c>
      <c r="D75" s="3" t="s">
        <v>344</v>
      </c>
      <c r="E75" s="3" t="s">
        <v>369</v>
      </c>
      <c r="F75" s="3" t="s">
        <v>370</v>
      </c>
      <c r="G75" s="3" t="s">
        <v>371</v>
      </c>
      <c r="H75" s="5" t="s">
        <v>20</v>
      </c>
      <c r="I75" s="4">
        <v>8</v>
      </c>
      <c r="J75" s="4" t="s">
        <v>21</v>
      </c>
      <c r="K75" s="3" t="s">
        <v>372</v>
      </c>
      <c r="L75" s="3" t="s">
        <v>23</v>
      </c>
    </row>
    <row r="76" ht="35.05" customHeight="1" spans="1:12" x14ac:dyDescent="0.25">
      <c r="A76" s="3" t="s">
        <v>373</v>
      </c>
      <c r="B76" s="3" t="s">
        <v>16</v>
      </c>
      <c r="C76" s="4" t="s">
        <v>343</v>
      </c>
      <c r="D76" s="3" t="s">
        <v>344</v>
      </c>
      <c r="E76" s="3" t="s">
        <v>374</v>
      </c>
      <c r="F76" s="3" t="s">
        <v>375</v>
      </c>
      <c r="G76" s="3" t="s">
        <v>376</v>
      </c>
      <c r="H76" s="6" t="s">
        <v>33</v>
      </c>
      <c r="I76" s="4">
        <v>5</v>
      </c>
      <c r="J76" s="4" t="s">
        <v>21</v>
      </c>
      <c r="K76" s="3" t="s">
        <v>377</v>
      </c>
      <c r="L76" s="3" t="s">
        <v>378</v>
      </c>
    </row>
    <row r="77" ht="23.85" customHeight="1" spans="1:12" x14ac:dyDescent="0.25">
      <c r="A77" s="3" t="s">
        <v>379</v>
      </c>
      <c r="B77" s="3" t="s">
        <v>16</v>
      </c>
      <c r="C77" s="4" t="s">
        <v>343</v>
      </c>
      <c r="D77" s="3" t="s">
        <v>344</v>
      </c>
      <c r="E77" s="3" t="s">
        <v>380</v>
      </c>
      <c r="F77" s="3" t="s">
        <v>381</v>
      </c>
      <c r="G77" s="3" t="s">
        <v>382</v>
      </c>
      <c r="H77" s="6" t="s">
        <v>33</v>
      </c>
      <c r="I77" s="4">
        <v>5</v>
      </c>
      <c r="J77" s="4" t="s">
        <v>34</v>
      </c>
      <c r="K77" s="3" t="s">
        <v>383</v>
      </c>
      <c r="L77" s="3" t="s">
        <v>384</v>
      </c>
    </row>
    <row r="78" ht="35.05" customHeight="1" spans="1:12" x14ac:dyDescent="0.25">
      <c r="A78" s="3" t="s">
        <v>385</v>
      </c>
      <c r="B78" s="3" t="s">
        <v>16</v>
      </c>
      <c r="C78" s="4" t="s">
        <v>343</v>
      </c>
      <c r="D78" s="3" t="s">
        <v>344</v>
      </c>
      <c r="E78" s="3" t="s">
        <v>386</v>
      </c>
      <c r="F78" s="3" t="s">
        <v>387</v>
      </c>
      <c r="G78" s="3" t="s">
        <v>388</v>
      </c>
      <c r="H78" s="6" t="s">
        <v>33</v>
      </c>
      <c r="I78" s="4">
        <v>3</v>
      </c>
      <c r="J78" s="4" t="s">
        <v>34</v>
      </c>
      <c r="K78" s="3" t="s">
        <v>389</v>
      </c>
      <c r="L78" s="3" t="s">
        <v>23</v>
      </c>
    </row>
    <row r="79" ht="23.85" customHeight="1" spans="1:12" x14ac:dyDescent="0.25">
      <c r="A79" s="3" t="s">
        <v>390</v>
      </c>
      <c r="B79" s="3" t="s">
        <v>16</v>
      </c>
      <c r="C79" s="4" t="s">
        <v>343</v>
      </c>
      <c r="D79" s="3" t="s">
        <v>344</v>
      </c>
      <c r="E79" s="3" t="s">
        <v>391</v>
      </c>
      <c r="F79" s="3" t="s">
        <v>392</v>
      </c>
      <c r="G79" s="3" t="s">
        <v>393</v>
      </c>
      <c r="H79" s="7" t="s">
        <v>70</v>
      </c>
      <c r="I79" s="4">
        <v>3</v>
      </c>
      <c r="J79" s="4" t="s">
        <v>71</v>
      </c>
      <c r="K79" s="3" t="s">
        <v>394</v>
      </c>
      <c r="L79" s="3" t="s">
        <v>395</v>
      </c>
    </row>
    <row r="80" ht="35.05" customHeight="1" spans="1:12" x14ac:dyDescent="0.25">
      <c r="A80" s="3" t="s">
        <v>396</v>
      </c>
      <c r="B80" s="3" t="s">
        <v>16</v>
      </c>
      <c r="C80" s="4" t="s">
        <v>78</v>
      </c>
      <c r="D80" s="3" t="s">
        <v>79</v>
      </c>
      <c r="E80" s="3" t="s">
        <v>397</v>
      </c>
      <c r="F80" s="3" t="s">
        <v>398</v>
      </c>
      <c r="G80" s="3" t="s">
        <v>399</v>
      </c>
      <c r="H80" s="5" t="s">
        <v>20</v>
      </c>
      <c r="I80" s="4">
        <v>5</v>
      </c>
      <c r="J80" s="4" t="s">
        <v>21</v>
      </c>
      <c r="K80" s="3" t="s">
        <v>400</v>
      </c>
      <c r="L80" s="3" t="s">
        <v>401</v>
      </c>
    </row>
    <row r="81" ht="35.05" customHeight="1" spans="1:12" x14ac:dyDescent="0.25">
      <c r="A81" s="3" t="s">
        <v>402</v>
      </c>
      <c r="B81" s="3" t="s">
        <v>16</v>
      </c>
      <c r="C81" s="4" t="s">
        <v>132</v>
      </c>
      <c r="D81" s="3" t="s">
        <v>133</v>
      </c>
      <c r="E81" s="3" t="s">
        <v>403</v>
      </c>
      <c r="F81" s="3" t="s">
        <v>404</v>
      </c>
      <c r="G81" s="3" t="s">
        <v>405</v>
      </c>
      <c r="H81" s="5" t="s">
        <v>70</v>
      </c>
      <c r="I81" s="4">
        <v>2</v>
      </c>
      <c r="J81" s="4" t="s">
        <v>71</v>
      </c>
      <c r="K81" s="3" t="s">
        <v>406</v>
      </c>
      <c r="L81" s="3" t="s">
        <v>401</v>
      </c>
    </row>
    <row r="82" ht="35.05" customHeight="1" spans="1:12" x14ac:dyDescent="0.25">
      <c r="A82" s="3" t="s">
        <v>407</v>
      </c>
      <c r="B82" s="3" t="s">
        <v>16</v>
      </c>
      <c r="C82" s="4" t="s">
        <v>132</v>
      </c>
      <c r="D82" s="3" t="s">
        <v>133</v>
      </c>
      <c r="E82" s="3" t="s">
        <v>408</v>
      </c>
      <c r="F82" s="3" t="s">
        <v>409</v>
      </c>
      <c r="G82" s="3" t="s">
        <v>410</v>
      </c>
      <c r="H82" s="5" t="s">
        <v>70</v>
      </c>
      <c r="I82" s="4">
        <v>2</v>
      </c>
      <c r="J82" s="4" t="s">
        <v>71</v>
      </c>
      <c r="K82" s="3" t="s">
        <v>383</v>
      </c>
      <c r="L82" s="3" t="s">
        <v>401</v>
      </c>
    </row>
    <row r="83" ht="35.05" customHeight="1" spans="1:12" x14ac:dyDescent="0.25">
      <c r="A83" s="3" t="s">
        <v>411</v>
      </c>
      <c r="B83" s="3" t="s">
        <v>16</v>
      </c>
      <c r="C83" s="4" t="s">
        <v>184</v>
      </c>
      <c r="D83" s="3" t="s">
        <v>185</v>
      </c>
      <c r="E83" s="3" t="s">
        <v>412</v>
      </c>
      <c r="F83" s="3" t="s">
        <v>413</v>
      </c>
      <c r="G83" s="3" t="s">
        <v>414</v>
      </c>
      <c r="H83" s="5" t="s">
        <v>33</v>
      </c>
      <c r="I83" s="4">
        <v>3</v>
      </c>
      <c r="J83" s="4" t="s">
        <v>34</v>
      </c>
      <c r="K83" s="3" t="s">
        <v>206</v>
      </c>
      <c r="L83" s="3" t="s">
        <v>401</v>
      </c>
    </row>
    <row r="84" ht="35.05" customHeight="1" spans="1:12" x14ac:dyDescent="0.25">
      <c r="A84" s="3" t="s">
        <v>415</v>
      </c>
      <c r="B84" s="3" t="s">
        <v>16</v>
      </c>
      <c r="C84" s="4" t="s">
        <v>240</v>
      </c>
      <c r="D84" s="3" t="s">
        <v>241</v>
      </c>
      <c r="E84" s="3" t="s">
        <v>416</v>
      </c>
      <c r="F84" s="3" t="s">
        <v>417</v>
      </c>
      <c r="G84" s="3" t="s">
        <v>418</v>
      </c>
      <c r="H84" s="5" t="s">
        <v>33</v>
      </c>
      <c r="I84" s="4">
        <v>3</v>
      </c>
      <c r="J84" s="4" t="s">
        <v>34</v>
      </c>
      <c r="K84" s="3" t="s">
        <v>419</v>
      </c>
      <c r="L84" s="3" t="s">
        <v>401</v>
      </c>
    </row>
    <row r="85" ht="35.05" customHeight="1" spans="1:12" x14ac:dyDescent="0.25">
      <c r="A85" s="3" t="s">
        <v>420</v>
      </c>
      <c r="B85" s="3" t="s">
        <v>16</v>
      </c>
      <c r="C85" s="4" t="s">
        <v>307</v>
      </c>
      <c r="D85" s="3" t="s">
        <v>308</v>
      </c>
      <c r="E85" s="3" t="s">
        <v>421</v>
      </c>
      <c r="F85" s="3" t="s">
        <v>422</v>
      </c>
      <c r="G85" s="3" t="s">
        <v>423</v>
      </c>
      <c r="H85" s="5" t="s">
        <v>33</v>
      </c>
      <c r="I85" s="4">
        <v>3</v>
      </c>
      <c r="J85" s="4" t="s">
        <v>34</v>
      </c>
      <c r="K85" s="3" t="s">
        <v>424</v>
      </c>
      <c r="L85" s="3" t="s">
        <v>401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2" max="2" width="32" customWidth="1"/>
    <col min="3" max="3" width="46" customWidth="1"/>
    <col min="4" max="4" width="16" customWidth="1"/>
    <col min="5" max="5" width="18" customWidth="1"/>
    <col min="6" max="6" width="16" customWidth="1"/>
  </cols>
  <sheetData>
    <row r="1" ht="25.5" customHeight="1" spans="1:6" x14ac:dyDescent="0.25">
      <c r="A1" s="1" t="s">
        <v>2</v>
      </c>
      <c r="B1" s="1" t="s">
        <v>425</v>
      </c>
      <c r="C1" s="1" t="s">
        <v>426</v>
      </c>
      <c r="D1" s="1" t="s">
        <v>427</v>
      </c>
      <c r="E1" s="1" t="s">
        <v>428</v>
      </c>
      <c r="F1" s="1" t="s">
        <v>429</v>
      </c>
    </row>
    <row r="2" ht="23.85" customHeight="1" spans="1:6" x14ac:dyDescent="0.25">
      <c r="A2" s="4" t="s">
        <v>12</v>
      </c>
      <c r="B2" s="3" t="s">
        <v>13</v>
      </c>
      <c r="C2" s="3" t="s">
        <v>14</v>
      </c>
      <c r="D2" s="4">
        <f>COUNTIFS(Backlog!C:C,A2,Backlog!B:B,"Historyjka")</f>
        <v>11</v>
      </c>
      <c r="E2" s="4">
        <f>SUMIFS(Backlog!I:I,Backlog!C:C,A2,Backlog!B:B,"Historyjka")</f>
        <v>47</v>
      </c>
      <c r="F2" s="4">
        <f>COUNTIFS(Backlog!C:C,A2,Backlog!B:B,"Historyjka",Backlog!J:J,"MVP")</f>
        <v>6</v>
      </c>
    </row>
    <row r="3" ht="23.85" customHeight="1" spans="1:6" x14ac:dyDescent="0.25">
      <c r="A3" s="4" t="s">
        <v>78</v>
      </c>
      <c r="B3" s="3" t="s">
        <v>79</v>
      </c>
      <c r="C3" s="3" t="s">
        <v>80</v>
      </c>
      <c r="D3" s="4">
        <f>COUNTIFS(Backlog!C:C,A3,Backlog!B:B,"Historyjka")</f>
        <v>11</v>
      </c>
      <c r="E3" s="4">
        <f>SUMIFS(Backlog!I:I,Backlog!C:C,A3,Backlog!B:B,"Historyjka")</f>
        <v>53</v>
      </c>
      <c r="F3" s="4">
        <f>COUNTIFS(Backlog!C:C,A3,Backlog!B:B,"Historyjka",Backlog!J:J,"MVP")</f>
        <v>7</v>
      </c>
    </row>
    <row r="4" ht="15" customHeight="1" spans="1:6" x14ac:dyDescent="0.25">
      <c r="A4" s="4" t="s">
        <v>132</v>
      </c>
      <c r="B4" s="3" t="s">
        <v>133</v>
      </c>
      <c r="C4" s="3" t="s">
        <v>134</v>
      </c>
      <c r="D4" s="4">
        <f>COUNTIFS(Backlog!C:C,A4,Backlog!B:B,"Historyjka")</f>
        <v>7</v>
      </c>
      <c r="E4" s="4">
        <f>SUMIFS(Backlog!I:I,Backlog!C:C,A4,Backlog!B:B,"Historyjka")</f>
        <v>27</v>
      </c>
      <c r="F4" s="4">
        <f>COUNTIFS(Backlog!C:C,A4,Backlog!B:B,"Historyjka",Backlog!J:J,"MVP")</f>
        <v>2</v>
      </c>
    </row>
    <row r="5" ht="23.85" customHeight="1" spans="1:6" x14ac:dyDescent="0.25">
      <c r="A5" s="4" t="s">
        <v>160</v>
      </c>
      <c r="B5" s="3" t="s">
        <v>161</v>
      </c>
      <c r="C5" s="3" t="s">
        <v>162</v>
      </c>
      <c r="D5" s="4">
        <f>COUNTIFS(Backlog!C:C,A5,Backlog!B:B,"Historyjka")</f>
        <v>4</v>
      </c>
      <c r="E5" s="4">
        <f>SUMIFS(Backlog!I:I,Backlog!C:C,A5,Backlog!B:B,"Historyjka")</f>
        <v>18</v>
      </c>
      <c r="F5" s="4">
        <f>COUNTIFS(Backlog!C:C,A5,Backlog!B:B,"Historyjka",Backlog!J:J,"MVP")</f>
        <v>3</v>
      </c>
    </row>
    <row r="6" ht="23.85" customHeight="1" spans="1:6" x14ac:dyDescent="0.25">
      <c r="A6" s="4" t="s">
        <v>184</v>
      </c>
      <c r="B6" s="3" t="s">
        <v>185</v>
      </c>
      <c r="C6" s="3" t="s">
        <v>186</v>
      </c>
      <c r="D6" s="4">
        <f>COUNTIFS(Backlog!C:C,A6,Backlog!B:B,"Historyjka")</f>
        <v>5</v>
      </c>
      <c r="E6" s="4">
        <f>SUMIFS(Backlog!I:I,Backlog!C:C,A6,Backlog!B:B,"Historyjka")</f>
        <v>15</v>
      </c>
      <c r="F6" s="4">
        <f>COUNTIFS(Backlog!C:C,A6,Backlog!B:B,"Historyjka",Backlog!J:J,"MVP")</f>
        <v>1</v>
      </c>
    </row>
    <row r="7" ht="23.85" customHeight="1" spans="1:6" x14ac:dyDescent="0.25">
      <c r="A7" s="4" t="s">
        <v>207</v>
      </c>
      <c r="B7" s="3" t="s">
        <v>208</v>
      </c>
      <c r="C7" s="3" t="s">
        <v>209</v>
      </c>
      <c r="D7" s="4">
        <f>COUNTIFS(Backlog!C:C,A7,Backlog!B:B,"Historyjka")</f>
        <v>6</v>
      </c>
      <c r="E7" s="4">
        <f>SUMIFS(Backlog!I:I,Backlog!C:C,A7,Backlog!B:B,"Historyjka")</f>
        <v>31</v>
      </c>
      <c r="F7" s="4">
        <f>COUNTIFS(Backlog!C:C,A7,Backlog!B:B,"Historyjka",Backlog!J:J,"MVP")</f>
        <v>3</v>
      </c>
    </row>
    <row r="8" ht="15" customHeight="1" spans="1:6" x14ac:dyDescent="0.25">
      <c r="A8" s="4" t="s">
        <v>240</v>
      </c>
      <c r="B8" s="3" t="s">
        <v>241</v>
      </c>
      <c r="C8" s="3" t="s">
        <v>242</v>
      </c>
      <c r="D8" s="4">
        <f>COUNTIFS(Backlog!C:C,A8,Backlog!B:B,"Historyjka")</f>
        <v>8</v>
      </c>
      <c r="E8" s="4">
        <f>SUMIFS(Backlog!I:I,Backlog!C:C,A8,Backlog!B:B,"Historyjka")</f>
        <v>40</v>
      </c>
      <c r="F8" s="4">
        <f>COUNTIFS(Backlog!C:C,A8,Backlog!B:B,"Historyjka",Backlog!J:J,"MVP")</f>
        <v>6</v>
      </c>
    </row>
    <row r="9" ht="23.85" customHeight="1" spans="1:6" x14ac:dyDescent="0.25">
      <c r="A9" s="4" t="s">
        <v>278</v>
      </c>
      <c r="B9" s="3" t="s">
        <v>279</v>
      </c>
      <c r="C9" s="3" t="s">
        <v>280</v>
      </c>
      <c r="D9" s="4">
        <f>COUNTIFS(Backlog!C:C,A9,Backlog!B:B,"Historyjka")</f>
        <v>5</v>
      </c>
      <c r="E9" s="4">
        <f>SUMIFS(Backlog!I:I,Backlog!C:C,A9,Backlog!B:B,"Historyjka")</f>
        <v>25</v>
      </c>
      <c r="F9" s="4">
        <f>COUNTIFS(Backlog!C:C,A9,Backlog!B:B,"Historyjka",Backlog!J:J,"MVP")</f>
        <v>5</v>
      </c>
    </row>
    <row r="10" ht="15" customHeight="1" spans="1:6" x14ac:dyDescent="0.25">
      <c r="A10" s="4" t="s">
        <v>307</v>
      </c>
      <c r="B10" s="3" t="s">
        <v>308</v>
      </c>
      <c r="C10" s="3" t="s">
        <v>309</v>
      </c>
      <c r="D10" s="4">
        <f>COUNTIFS(Backlog!C:C,A10,Backlog!B:B,"Historyjka")</f>
        <v>3</v>
      </c>
      <c r="E10" s="4">
        <f>SUMIFS(Backlog!I:I,Backlog!C:C,A10,Backlog!B:B,"Historyjka")</f>
        <v>11</v>
      </c>
      <c r="F10" s="4">
        <f>COUNTIFS(Backlog!C:C,A10,Backlog!B:B,"Historyjka",Backlog!J:J,"MVP")</f>
        <v>0</v>
      </c>
    </row>
    <row r="11" ht="15" customHeight="1" spans="1:6" x14ac:dyDescent="0.25">
      <c r="A11" s="4" t="s">
        <v>320</v>
      </c>
      <c r="B11" s="3" t="s">
        <v>321</v>
      </c>
      <c r="C11" s="3" t="s">
        <v>322</v>
      </c>
      <c r="D11" s="4">
        <f>COUNTIFS(Backlog!C:C,A11,Backlog!B:B,"Historyjka")</f>
        <v>4</v>
      </c>
      <c r="E11" s="4">
        <f>SUMIFS(Backlog!I:I,Backlog!C:C,A11,Backlog!B:B,"Historyjka")</f>
        <v>16</v>
      </c>
      <c r="F11" s="4">
        <f>COUNTIFS(Backlog!C:C,A11,Backlog!B:B,"Historyjka",Backlog!J:J,"MVP")</f>
        <v>3</v>
      </c>
    </row>
    <row r="12" ht="23.85" customHeight="1" spans="1:6" x14ac:dyDescent="0.25">
      <c r="A12" s="4" t="s">
        <v>343</v>
      </c>
      <c r="B12" s="3" t="s">
        <v>344</v>
      </c>
      <c r="C12" s="3" t="s">
        <v>345</v>
      </c>
      <c r="D12" s="4">
        <f>COUNTIFS(Backlog!C:C,A12,Backlog!B:B,"Historyjka")</f>
        <v>9</v>
      </c>
      <c r="E12" s="4">
        <f>SUMIFS(Backlog!I:I,Backlog!C:C,A12,Backlog!B:B,"Historyjka")</f>
        <v>40</v>
      </c>
      <c r="F12" s="4">
        <f>COUNTIFS(Backlog!C:C,A12,Backlog!B:B,"Historyjka",Backlog!J:J,"MVP")</f>
        <v>5</v>
      </c>
    </row>
    <row r="13" ht="15" customHeight="1" spans="1:6" x14ac:dyDescent="0.25">
      <c r="A13" s="8" t="s">
        <v>430</v>
      </c>
      <c r="B13" s="9"/>
      <c r="C13" s="9"/>
      <c r="D13" s="8">
        <f>SUM(D2:D12)</f>
        <v>73</v>
      </c>
      <c r="E13" s="8">
        <f>SUM(E2:E12)</f>
        <v>323</v>
      </c>
      <c r="F13" s="8">
        <f>SUM(F2:F12)</f>
        <v>41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22" customWidth="1"/>
    <col min="2" max="2" width="80" customWidth="1"/>
  </cols>
  <sheetData>
    <row r="1" ht="25.5" customHeight="1" spans="1:2" x14ac:dyDescent="0.25">
      <c r="A1" s="1" t="s">
        <v>431</v>
      </c>
      <c r="B1" s="1" t="s">
        <v>432</v>
      </c>
    </row>
    <row r="2" ht="15" customHeight="1" spans="1:2" x14ac:dyDescent="0.25">
      <c r="A2" s="10" t="s">
        <v>433</v>
      </c>
      <c r="B2" s="3" t="s">
        <v>434</v>
      </c>
    </row>
    <row r="3" ht="15" customHeight="1" spans="1:2" x14ac:dyDescent="0.25">
      <c r="A3" s="10" t="s">
        <v>435</v>
      </c>
      <c r="B3" s="3" t="s">
        <v>436</v>
      </c>
    </row>
    <row r="4" ht="15" customHeight="1" spans="1:2" x14ac:dyDescent="0.25">
      <c r="A4" s="10" t="s">
        <v>437</v>
      </c>
      <c r="B4" s="3" t="s">
        <v>438</v>
      </c>
    </row>
    <row r="5" ht="15" customHeight="1" spans="1:2" x14ac:dyDescent="0.25">
      <c r="A5" s="10" t="s">
        <v>439</v>
      </c>
      <c r="B5" s="3" t="s">
        <v>440</v>
      </c>
    </row>
    <row r="6" ht="15" customHeight="1" spans="1:2" x14ac:dyDescent="0.25">
      <c r="A6" s="10" t="s">
        <v>8</v>
      </c>
      <c r="B6" s="3" t="s">
        <v>441</v>
      </c>
    </row>
    <row r="7" ht="15" customHeight="1" spans="1:2" x14ac:dyDescent="0.25">
      <c r="A7" s="10" t="s">
        <v>9</v>
      </c>
      <c r="B7" s="3" t="s">
        <v>442</v>
      </c>
    </row>
    <row r="8" ht="15" customHeight="1" spans="1:2" x14ac:dyDescent="0.25">
      <c r="A8" s="10" t="s">
        <v>10</v>
      </c>
      <c r="B8" s="3" t="s">
        <v>443</v>
      </c>
    </row>
    <row r="9" ht="23.85" customHeight="1" spans="1:2" x14ac:dyDescent="0.25">
      <c r="A9" s="10" t="s">
        <v>444</v>
      </c>
      <c r="B9" s="3" t="s">
        <v>445</v>
      </c>
    </row>
    <row r="10" spans="1:2" x14ac:dyDescent="0.25">
      <c r="A10" s="10" t="s">
        <v>446</v>
      </c>
      <c r="B10" s="3" t="s">
        <v>447</v>
      </c>
    </row>
    <row r="11" spans="1:2" x14ac:dyDescent="0.25">
      <c r="A11" s="10" t="s">
        <v>448</v>
      </c>
      <c r="B11" s="3" t="s">
        <v>449</v>
      </c>
    </row>
    <row r="12" spans="1:2" x14ac:dyDescent="0.25">
      <c r="A12" s="10" t="s">
        <v>450</v>
      </c>
      <c r="B12" s="3" t="s">
        <v>451</v>
      </c>
    </row>
    <row r="13" spans="1:2" x14ac:dyDescent="0.25">
      <c r="A13" s="10" t="s">
        <v>452</v>
      </c>
      <c r="B13" s="3" t="s">
        <v>453</v>
      </c>
    </row>
    <row r="14" spans="1:2" x14ac:dyDescent="0.25">
      <c r="A14" s="10" t="s">
        <v>454</v>
      </c>
      <c r="B14" s="3" t="s">
        <v>455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Backlog</vt:lpstr>
      <vt:lpstr>Epiki</vt:lpstr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2026-06-22T19:23:14Z</dcterms:created>
  <dcterms:modified xsi:type="dcterms:W3CDTF">2026-06-22T19:23:14Z</dcterms:modified>
</cp:coreProperties>
</file>